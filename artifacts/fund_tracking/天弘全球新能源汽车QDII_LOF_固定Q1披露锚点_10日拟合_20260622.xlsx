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固定披露锚点持仓明细" sheetId="1" state="visible" r:id="rId1"/>
    <sheet name="10日拟合误差" sheetId="2" state="visible" r:id="rId2"/>
    <sheet name="日收益矩阵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2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2" fontId="0" fillId="4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实际净值涨跌幅 vs Q2行为基准估算</a:t>
            </a:r>
          </a:p>
        </rich>
      </tx>
    </title>
    <plotArea>
      <lineChart>
        <grouping val="standard"/>
        <ser>
          <idx val="0"/>
          <order val="0"/>
          <tx>
            <strRef>
              <f>'10日拟合误差'!C1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'10日拟合误差'!$B$2:$B$11</f>
            </numRef>
          </cat>
          <val>
            <numRef>
              <f>'10日拟合误差'!$C$2:$C$11</f>
            </numRef>
          </val>
        </ser>
        <ser>
          <idx val="1"/>
          <order val="1"/>
          <tx>
            <strRef>
              <f>'10日拟合误差'!G1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'10日拟合误差'!$B$2:$B$11</f>
            </numRef>
          </cat>
          <val>
            <numRef>
              <f>'10日拟合误差'!$G$2:$G$11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净值日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涨跌幅(%)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6" customWidth="1" min="9" max="9"/>
  </cols>
  <sheetData>
    <row r="1">
      <c r="A1" s="1" t="inlineStr">
        <is>
          <t>分组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币种</t>
        </is>
      </c>
      <c r="E1" s="1" t="inlineStr">
        <is>
          <t>权重(%)</t>
        </is>
      </c>
      <c r="F1" s="1" t="inlineStr">
        <is>
          <t>披露权重(%)</t>
        </is>
      </c>
      <c r="G1" s="1" t="inlineStr">
        <is>
          <t>是否固定</t>
        </is>
      </c>
      <c r="H1" s="1" t="inlineStr">
        <is>
          <t>来源/约束</t>
        </is>
      </c>
      <c r="I1" s="1" t="inlineStr">
        <is>
          <t>备注</t>
        </is>
      </c>
    </row>
    <row r="2">
      <c r="A2" s="2" t="inlineStr">
        <is>
          <t>Q1披露固定锚点</t>
        </is>
      </c>
      <c r="B2" s="2" t="inlineStr">
        <is>
          <t>NVDA</t>
        </is>
      </c>
      <c r="C2" s="2" t="inlineStr">
        <is>
          <t>英伟达</t>
        </is>
      </c>
      <c r="D2" s="2" t="inlineStr">
        <is>
          <t>USD</t>
        </is>
      </c>
      <c r="E2" s="3" t="n">
        <v>4.64</v>
      </c>
      <c r="F2" s="3" t="n">
        <v>4.64</v>
      </c>
      <c r="G2" s="2" t="inlineStr">
        <is>
          <t>是</t>
        </is>
      </c>
      <c r="H2" s="2" t="inlineStr">
        <is>
          <t>Q1披露前十大股票，固定锚点</t>
        </is>
      </c>
      <c r="I2" s="2" t="inlineStr">
        <is>
          <t>权重锁定，不参与拟合</t>
        </is>
      </c>
    </row>
    <row r="3">
      <c r="A3" s="2" t="inlineStr">
        <is>
          <t>Q1披露固定锚点</t>
        </is>
      </c>
      <c r="B3" s="2" t="inlineStr">
        <is>
          <t>TSM</t>
        </is>
      </c>
      <c r="C3" s="2" t="inlineStr">
        <is>
          <t>台积电ADR</t>
        </is>
      </c>
      <c r="D3" s="2" t="inlineStr">
        <is>
          <t>USD</t>
        </is>
      </c>
      <c r="E3" s="3" t="n">
        <v>4.37</v>
      </c>
      <c r="F3" s="3" t="n">
        <v>4.37</v>
      </c>
      <c r="G3" s="2" t="inlineStr">
        <is>
          <t>是</t>
        </is>
      </c>
      <c r="H3" s="2" t="inlineStr">
        <is>
          <t>Q1披露前十大股票，固定锚点</t>
        </is>
      </c>
      <c r="I3" s="2" t="inlineStr">
        <is>
          <t>权重锁定，不参与拟合</t>
        </is>
      </c>
    </row>
    <row r="4">
      <c r="A4" s="2" t="inlineStr">
        <is>
          <t>Q1披露固定锚点</t>
        </is>
      </c>
      <c r="B4" s="2" t="inlineStr">
        <is>
          <t>LITE</t>
        </is>
      </c>
      <c r="C4" s="2" t="inlineStr">
        <is>
          <t>Lumentum</t>
        </is>
      </c>
      <c r="D4" s="2" t="inlineStr">
        <is>
          <t>USD</t>
        </is>
      </c>
      <c r="E4" s="3" t="n">
        <v>4.15</v>
      </c>
      <c r="F4" s="3" t="n">
        <v>4.15</v>
      </c>
      <c r="G4" s="2" t="inlineStr">
        <is>
          <t>是</t>
        </is>
      </c>
      <c r="H4" s="2" t="inlineStr">
        <is>
          <t>Q1披露前十大股票，固定锚点</t>
        </is>
      </c>
      <c r="I4" s="2" t="inlineStr">
        <is>
          <t>权重锁定，不参与拟合</t>
        </is>
      </c>
    </row>
    <row r="5">
      <c r="A5" s="2" t="inlineStr">
        <is>
          <t>Q1披露固定锚点</t>
        </is>
      </c>
      <c r="B5" s="2" t="inlineStr">
        <is>
          <t>TER</t>
        </is>
      </c>
      <c r="C5" s="2" t="inlineStr">
        <is>
          <t>Teradyne</t>
        </is>
      </c>
      <c r="D5" s="2" t="inlineStr">
        <is>
          <t>USD</t>
        </is>
      </c>
      <c r="E5" s="3" t="n">
        <v>3.83</v>
      </c>
      <c r="F5" s="3" t="n">
        <v>3.83</v>
      </c>
      <c r="G5" s="2" t="inlineStr">
        <is>
          <t>是</t>
        </is>
      </c>
      <c r="H5" s="2" t="inlineStr">
        <is>
          <t>Q1披露前十大股票，固定锚点</t>
        </is>
      </c>
      <c r="I5" s="2" t="inlineStr">
        <is>
          <t>权重锁定，不参与拟合</t>
        </is>
      </c>
    </row>
    <row r="6">
      <c r="A6" s="2" t="inlineStr">
        <is>
          <t>Q1披露固定锚点</t>
        </is>
      </c>
      <c r="B6" s="2" t="inlineStr">
        <is>
          <t>KLAC</t>
        </is>
      </c>
      <c r="C6" s="2" t="inlineStr">
        <is>
          <t>KLA</t>
        </is>
      </c>
      <c r="D6" s="2" t="inlineStr">
        <is>
          <t>USD</t>
        </is>
      </c>
      <c r="E6" s="3" t="n">
        <v>3.64</v>
      </c>
      <c r="F6" s="3" t="n">
        <v>3.64</v>
      </c>
      <c r="G6" s="2" t="inlineStr">
        <is>
          <t>是</t>
        </is>
      </c>
      <c r="H6" s="2" t="inlineStr">
        <is>
          <t>Q1披露前十大股票，固定锚点</t>
        </is>
      </c>
      <c r="I6" s="2" t="inlineStr">
        <is>
          <t>权重锁定，不参与拟合</t>
        </is>
      </c>
    </row>
    <row r="7">
      <c r="A7" s="2" t="inlineStr">
        <is>
          <t>Q1披露固定锚点</t>
        </is>
      </c>
      <c r="B7" s="2" t="inlineStr">
        <is>
          <t>TSLA</t>
        </is>
      </c>
      <c r="C7" s="2" t="inlineStr">
        <is>
          <t>特斯拉</t>
        </is>
      </c>
      <c r="D7" s="2" t="inlineStr">
        <is>
          <t>USD</t>
        </is>
      </c>
      <c r="E7" s="3" t="n">
        <v>3.57</v>
      </c>
      <c r="F7" s="3" t="n">
        <v>3.57</v>
      </c>
      <c r="G7" s="2" t="inlineStr">
        <is>
          <t>是</t>
        </is>
      </c>
      <c r="H7" s="2" t="inlineStr">
        <is>
          <t>Q1披露前十大股票，固定锚点</t>
        </is>
      </c>
      <c r="I7" s="2" t="inlineStr">
        <is>
          <t>权重锁定，不参与拟合</t>
        </is>
      </c>
    </row>
    <row r="8">
      <c r="A8" s="2" t="inlineStr">
        <is>
          <t>Q1披露固定锚点</t>
        </is>
      </c>
      <c r="B8" s="2" t="inlineStr">
        <is>
          <t>AVGO</t>
        </is>
      </c>
      <c r="C8" s="2" t="inlineStr">
        <is>
          <t>博通</t>
        </is>
      </c>
      <c r="D8" s="2" t="inlineStr">
        <is>
          <t>USD</t>
        </is>
      </c>
      <c r="E8" s="3" t="n">
        <v>3.43</v>
      </c>
      <c r="F8" s="3" t="n">
        <v>3.43</v>
      </c>
      <c r="G8" s="2" t="inlineStr">
        <is>
          <t>是</t>
        </is>
      </c>
      <c r="H8" s="2" t="inlineStr">
        <is>
          <t>Q1披露前十大股票，固定锚点</t>
        </is>
      </c>
      <c r="I8" s="2" t="inlineStr">
        <is>
          <t>权重锁定，不参与拟合</t>
        </is>
      </c>
    </row>
    <row r="9">
      <c r="A9" s="2" t="inlineStr">
        <is>
          <t>Q1披露固定锚点</t>
        </is>
      </c>
      <c r="B9" s="2" t="inlineStr">
        <is>
          <t>COHR</t>
        </is>
      </c>
      <c r="C9" s="2" t="inlineStr">
        <is>
          <t>Coherent</t>
        </is>
      </c>
      <c r="D9" s="2" t="inlineStr">
        <is>
          <t>USD</t>
        </is>
      </c>
      <c r="E9" s="3" t="n">
        <v>3.34</v>
      </c>
      <c r="F9" s="3" t="n">
        <v>3.34</v>
      </c>
      <c r="G9" s="2" t="inlineStr">
        <is>
          <t>是</t>
        </is>
      </c>
      <c r="H9" s="2" t="inlineStr">
        <is>
          <t>Q1披露前十大股票，固定锚点</t>
        </is>
      </c>
      <c r="I9" s="2" t="inlineStr">
        <is>
          <t>权重锁定，不参与拟合</t>
        </is>
      </c>
    </row>
    <row r="10">
      <c r="A10" s="2" t="inlineStr">
        <is>
          <t>Q1披露固定锚点</t>
        </is>
      </c>
      <c r="B10" s="2" t="inlineStr">
        <is>
          <t>AMD</t>
        </is>
      </c>
      <c r="C10" s="2" t="inlineStr">
        <is>
          <t>AMD</t>
        </is>
      </c>
      <c r="D10" s="2" t="inlineStr">
        <is>
          <t>USD</t>
        </is>
      </c>
      <c r="E10" s="3" t="n">
        <v>3.31</v>
      </c>
      <c r="F10" s="3" t="n">
        <v>3.31</v>
      </c>
      <c r="G10" s="2" t="inlineStr">
        <is>
          <t>是</t>
        </is>
      </c>
      <c r="H10" s="2" t="inlineStr">
        <is>
          <t>Q1披露前十大股票，固定锚点</t>
        </is>
      </c>
      <c r="I10" s="2" t="inlineStr">
        <is>
          <t>权重锁定，不参与拟合</t>
        </is>
      </c>
    </row>
    <row r="11">
      <c r="A11" s="2" t="inlineStr">
        <is>
          <t>Q1披露固定锚点</t>
        </is>
      </c>
      <c r="B11" s="2" t="inlineStr">
        <is>
          <t>LRCX</t>
        </is>
      </c>
      <c r="C11" s="2" t="inlineStr">
        <is>
          <t>Lam Research</t>
        </is>
      </c>
      <c r="D11" s="2" t="inlineStr">
        <is>
          <t>USD</t>
        </is>
      </c>
      <c r="E11" s="3" t="n">
        <v>3.27</v>
      </c>
      <c r="F11" s="3" t="n">
        <v>3.27</v>
      </c>
      <c r="G11" s="2" t="inlineStr">
        <is>
          <t>是</t>
        </is>
      </c>
      <c r="H11" s="2" t="inlineStr">
        <is>
          <t>Q1披露前十大股票，固定锚点</t>
        </is>
      </c>
      <c r="I11" s="2" t="inlineStr">
        <is>
          <t>权重锁定，不参与拟合</t>
        </is>
      </c>
    </row>
    <row r="12">
      <c r="A12" s="2" t="inlineStr">
        <is>
          <t>Q1披露固定锚点</t>
        </is>
      </c>
      <c r="B12" s="2" t="inlineStr">
        <is>
          <t>7709.HK</t>
        </is>
      </c>
      <c r="C12" s="2" t="inlineStr">
        <is>
          <t>CSOP SK Hynix Daily 2x</t>
        </is>
      </c>
      <c r="D12" s="2" t="inlineStr">
        <is>
          <t>HKD</t>
        </is>
      </c>
      <c r="E12" s="3" t="n">
        <v>2.3</v>
      </c>
      <c r="F12" s="3" t="n">
        <v>2.3</v>
      </c>
      <c r="G12" s="2" t="inlineStr">
        <is>
          <t>是</t>
        </is>
      </c>
      <c r="H12" s="2" t="inlineStr">
        <is>
          <t>Q1披露基金投资，固定锚点</t>
        </is>
      </c>
      <c r="I12" s="2" t="inlineStr">
        <is>
          <t>权重锁定，不参与拟合</t>
        </is>
      </c>
    </row>
    <row r="13">
      <c r="A13" s="2" t="inlineStr">
        <is>
          <t>Q1披露固定锚点</t>
        </is>
      </c>
      <c r="B13" s="2" t="inlineStr">
        <is>
          <t>7747.HK</t>
        </is>
      </c>
      <c r="C13" s="2" t="inlineStr">
        <is>
          <t>CSOP Samsung Electronics Daily 2x</t>
        </is>
      </c>
      <c r="D13" s="2" t="inlineStr">
        <is>
          <t>HKD</t>
        </is>
      </c>
      <c r="E13" s="3" t="n">
        <v>1.3</v>
      </c>
      <c r="F13" s="3" t="n">
        <v>1.3</v>
      </c>
      <c r="G13" s="2" t="inlineStr">
        <is>
          <t>是</t>
        </is>
      </c>
      <c r="H13" s="2" t="inlineStr">
        <is>
          <t>Q1披露基金投资，固定锚点</t>
        </is>
      </c>
      <c r="I13" s="2" t="inlineStr">
        <is>
          <t>权重锁定，不参与拟合</t>
        </is>
      </c>
    </row>
    <row r="14">
      <c r="A14" s="2" t="inlineStr">
        <is>
          <t>固定资产</t>
        </is>
      </c>
      <c r="B14" s="2" t="inlineStr">
        <is>
          <t>国债2508</t>
        </is>
      </c>
      <c r="C14" s="2" t="inlineStr">
        <is>
          <t>国债2508</t>
        </is>
      </c>
      <c r="D14" s="2" t="inlineStr">
        <is>
          <t>CNY</t>
        </is>
      </c>
      <c r="E14" s="3" t="n">
        <v>0.43</v>
      </c>
      <c r="F14" s="3" t="n">
        <v>0.43</v>
      </c>
      <c r="G14" s="2" t="inlineStr">
        <is>
          <t>是</t>
        </is>
      </c>
      <c r="H14" s="2" t="inlineStr">
        <is>
          <t>Q1披露债券投资，固定锚点</t>
        </is>
      </c>
      <c r="I14" s="2" t="inlineStr">
        <is>
          <t>按0收益处理</t>
        </is>
      </c>
    </row>
    <row r="15">
      <c r="A15" s="4" t="inlineStr">
        <is>
          <t>未披露/行为拟合候选</t>
        </is>
      </c>
      <c r="B15" s="4" t="inlineStr">
        <is>
          <t>002738.SZ</t>
        </is>
      </c>
      <c r="C15" s="4" t="inlineStr">
        <is>
          <t>中矿资源</t>
        </is>
      </c>
      <c r="D15" s="4" t="inlineStr">
        <is>
          <t>CNY</t>
        </is>
      </c>
      <c r="E15" s="5" t="n">
        <v>7.0904</v>
      </c>
      <c r="F15" s="5" t="inlineStr"/>
      <c r="G15" s="4" t="inlineStr">
        <is>
          <t>否</t>
        </is>
      </c>
      <c r="H15" s="4" t="inlineStr">
        <is>
          <t>2025年报延续候选</t>
        </is>
      </c>
      <c r="I15" s="4" t="inlineStr">
        <is>
          <t>Q2行为基准模型；非官方披露</t>
        </is>
      </c>
    </row>
    <row r="16">
      <c r="A16" s="4" t="inlineStr">
        <is>
          <t>未披露/行为拟合候选</t>
        </is>
      </c>
      <c r="B16" s="4" t="inlineStr">
        <is>
          <t>RACE</t>
        </is>
      </c>
      <c r="C16" s="4" t="inlineStr">
        <is>
          <t>法拉利</t>
        </is>
      </c>
      <c r="D16" s="4" t="inlineStr">
        <is>
          <t>USD</t>
        </is>
      </c>
      <c r="E16" s="5" t="n">
        <v>1.1326</v>
      </c>
      <c r="F16" s="5" t="inlineStr"/>
      <c r="G16" s="4" t="inlineStr">
        <is>
          <t>否</t>
        </is>
      </c>
      <c r="H16" s="4" t="inlineStr">
        <is>
          <t>2025年报延续候选</t>
        </is>
      </c>
      <c r="I16" s="4" t="inlineStr">
        <is>
          <t>Q2行为基准模型；非官方披露</t>
        </is>
      </c>
    </row>
    <row r="17">
      <c r="A17" s="4" t="inlineStr">
        <is>
          <t>未披露/行为拟合候选</t>
        </is>
      </c>
      <c r="B17" s="4" t="inlineStr">
        <is>
          <t>605376.SS</t>
        </is>
      </c>
      <c r="C17" s="4" t="inlineStr">
        <is>
          <t>博迁新材</t>
        </is>
      </c>
      <c r="D17" s="4" t="inlineStr">
        <is>
          <t>CNY</t>
        </is>
      </c>
      <c r="E17" s="5" t="n">
        <v>5.4607</v>
      </c>
      <c r="F17" s="5" t="inlineStr"/>
      <c r="G17" s="4" t="inlineStr">
        <is>
          <t>否</t>
        </is>
      </c>
      <c r="H17" s="4" t="inlineStr">
        <is>
          <t>2025年报延续候选</t>
        </is>
      </c>
      <c r="I17" s="4" t="inlineStr">
        <is>
          <t>Q2行为基准模型；非官方披露</t>
        </is>
      </c>
    </row>
    <row r="18">
      <c r="A18" s="4" t="inlineStr">
        <is>
          <t>未披露/行为拟合候选</t>
        </is>
      </c>
      <c r="B18" s="4" t="inlineStr">
        <is>
          <t>300450.SZ</t>
        </is>
      </c>
      <c r="C18" s="4" t="inlineStr">
        <is>
          <t>先导智能</t>
        </is>
      </c>
      <c r="D18" s="4" t="inlineStr">
        <is>
          <t>CNY</t>
        </is>
      </c>
      <c r="E18" s="5" t="n">
        <v>1.3372</v>
      </c>
      <c r="F18" s="5" t="inlineStr"/>
      <c r="G18" s="4" t="inlineStr">
        <is>
          <t>否</t>
        </is>
      </c>
      <c r="H18" s="4" t="inlineStr">
        <is>
          <t>2025年报延续候选</t>
        </is>
      </c>
      <c r="I18" s="4" t="inlineStr">
        <is>
          <t>Q2行为基准模型；非官方披露</t>
        </is>
      </c>
    </row>
    <row r="19">
      <c r="A19" s="4" t="inlineStr">
        <is>
          <t>未披露/行为拟合候选</t>
        </is>
      </c>
      <c r="B19" s="4" t="inlineStr">
        <is>
          <t>MRVL</t>
        </is>
      </c>
      <c r="C19" s="4" t="inlineStr">
        <is>
          <t>Marvell</t>
        </is>
      </c>
      <c r="D19" s="4" t="inlineStr">
        <is>
          <t>USD</t>
        </is>
      </c>
      <c r="E19" s="5" t="n">
        <v>4.3373</v>
      </c>
      <c r="F19" s="5" t="inlineStr"/>
      <c r="G19" s="4" t="inlineStr">
        <is>
          <t>否</t>
        </is>
      </c>
      <c r="H19" s="4" t="inlineStr">
        <is>
          <t>2025年报延续候选</t>
        </is>
      </c>
      <c r="I19" s="4" t="inlineStr">
        <is>
          <t>Q2行为基准模型；非官方披露</t>
        </is>
      </c>
    </row>
    <row r="20">
      <c r="A20" s="4" t="inlineStr">
        <is>
          <t>未披露/行为拟合候选</t>
        </is>
      </c>
      <c r="B20" s="4" t="inlineStr">
        <is>
          <t>688052.SS</t>
        </is>
      </c>
      <c r="C20" s="4" t="inlineStr">
        <is>
          <t>纳芯微</t>
        </is>
      </c>
      <c r="D20" s="4" t="inlineStr">
        <is>
          <t>CNY</t>
        </is>
      </c>
      <c r="E20" s="5" t="n">
        <v>8</v>
      </c>
      <c r="F20" s="5" t="inlineStr"/>
      <c r="G20" s="4" t="inlineStr">
        <is>
          <t>否</t>
        </is>
      </c>
      <c r="H20" s="4" t="inlineStr">
        <is>
          <t>2025年报延续候选</t>
        </is>
      </c>
      <c r="I20" s="4" t="inlineStr">
        <is>
          <t>Q2行为基准模型；非官方披露</t>
        </is>
      </c>
    </row>
    <row r="21">
      <c r="A21" s="4" t="inlineStr">
        <is>
          <t>未披露/行为拟合候选</t>
        </is>
      </c>
      <c r="B21" s="4" t="inlineStr">
        <is>
          <t>002475.SZ</t>
        </is>
      </c>
      <c r="C21" s="4" t="inlineStr">
        <is>
          <t>立讯精密</t>
        </is>
      </c>
      <c r="D21" s="4" t="inlineStr">
        <is>
          <t>CNY</t>
        </is>
      </c>
      <c r="E21" s="5" t="n">
        <v>8</v>
      </c>
      <c r="F21" s="5" t="inlineStr"/>
      <c r="G21" s="4" t="inlineStr">
        <is>
          <t>否</t>
        </is>
      </c>
      <c r="H21" s="4" t="inlineStr">
        <is>
          <t>2025年报延续候选</t>
        </is>
      </c>
      <c r="I21" s="4" t="inlineStr">
        <is>
          <t>Q2行为基准模型；非官方披露</t>
        </is>
      </c>
    </row>
    <row r="22">
      <c r="A22" s="4" t="inlineStr">
        <is>
          <t>未披露/行为拟合候选</t>
        </is>
      </c>
      <c r="B22" s="4" t="inlineStr">
        <is>
          <t>WDC</t>
        </is>
      </c>
      <c r="C22" s="4" t="inlineStr">
        <is>
          <t>Western Digital</t>
        </is>
      </c>
      <c r="D22" s="4" t="inlineStr">
        <is>
          <t>USD</t>
        </is>
      </c>
      <c r="E22" s="5" t="n">
        <v>6.9444</v>
      </c>
      <c r="F22" s="5" t="inlineStr"/>
      <c r="G22" s="4" t="inlineStr">
        <is>
          <t>否</t>
        </is>
      </c>
      <c r="H22" s="4" t="inlineStr">
        <is>
          <t>AI存储链假设新增</t>
        </is>
      </c>
      <c r="I22" s="4" t="inlineStr">
        <is>
          <t>Q2行为基准模型；非官方披露</t>
        </is>
      </c>
    </row>
    <row r="23">
      <c r="A23" s="4" t="inlineStr">
        <is>
          <t>未披露/行为拟合候选</t>
        </is>
      </c>
      <c r="B23" s="4" t="inlineStr">
        <is>
          <t>000660.KS</t>
        </is>
      </c>
      <c r="C23" s="4" t="inlineStr">
        <is>
          <t>SK Hynix</t>
        </is>
      </c>
      <c r="D23" s="4" t="inlineStr">
        <is>
          <t>KRW</t>
        </is>
      </c>
      <c r="E23" s="5" t="n">
        <v>8</v>
      </c>
      <c r="F23" s="5" t="inlineStr"/>
      <c r="G23" s="4" t="inlineStr">
        <is>
          <t>否</t>
        </is>
      </c>
      <c r="H23" s="4" t="inlineStr">
        <is>
          <t>AI存储链假设新增</t>
        </is>
      </c>
      <c r="I23" s="4" t="inlineStr">
        <is>
          <t>Q2行为基准模型；非官方披露</t>
        </is>
      </c>
    </row>
    <row r="24">
      <c r="A24" s="4" t="inlineStr">
        <is>
          <t>未披露/行为拟合候选</t>
        </is>
      </c>
      <c r="B24" s="4" t="inlineStr">
        <is>
          <t>CRDO</t>
        </is>
      </c>
      <c r="C24" s="4" t="inlineStr">
        <is>
          <t>Credo Technology</t>
        </is>
      </c>
      <c r="D24" s="4" t="inlineStr">
        <is>
          <t>USD</t>
        </is>
      </c>
      <c r="E24" s="5" t="n">
        <v>2.3674</v>
      </c>
      <c r="F24" s="5" t="inlineStr"/>
      <c r="G24" s="4" t="inlineStr">
        <is>
          <t>否</t>
        </is>
      </c>
      <c r="H24" s="4" t="inlineStr">
        <is>
          <t>AI互连假设新增</t>
        </is>
      </c>
      <c r="I24" s="4" t="inlineStr">
        <is>
          <t>Q2行为基准模型；非官方披露</t>
        </is>
      </c>
    </row>
    <row r="25">
      <c r="A25" s="6" t="inlineStr">
        <is>
          <t>现金及其他</t>
        </is>
      </c>
      <c r="B25" s="6" t="inlineStr">
        <is>
          <t>CASH_OTHER</t>
        </is>
      </c>
      <c r="C25" s="6" t="inlineStr">
        <is>
          <t>现金及其他</t>
        </is>
      </c>
      <c r="D25" s="6" t="inlineStr">
        <is>
          <t>CNY</t>
        </is>
      </c>
      <c r="E25" s="7" t="n">
        <v>5.75</v>
      </c>
      <c r="F25" s="7" t="inlineStr">
        <is>
          <t>约5.75</t>
        </is>
      </c>
      <c r="G25" s="6" t="inlineStr">
        <is>
          <t>否</t>
        </is>
      </c>
      <c r="H25" s="6" t="inlineStr">
        <is>
          <t>倒算余额</t>
        </is>
      </c>
      <c r="I25" s="6" t="inlineStr">
        <is>
          <t>主模型保留Q1现金及其他比例</t>
        </is>
      </c>
    </row>
    <row r="26">
      <c r="A26" s="4" t="inlineStr">
        <is>
          <t>合计</t>
        </is>
      </c>
      <c r="B26" s="4" t="inlineStr"/>
      <c r="C26" s="4" t="inlineStr"/>
      <c r="D26" s="4" t="inlineStr"/>
      <c r="E26" s="5" t="n">
        <v>100</v>
      </c>
      <c r="F26" s="5" t="inlineStr"/>
      <c r="G26" s="4" t="inlineStr"/>
      <c r="H26" s="4" t="inlineStr"/>
      <c r="I2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  <col width="13" customWidth="1" min="5" max="5"/>
    <col width="28" customWidth="1" min="6" max="6"/>
    <col width="13" customWidth="1" min="7" max="7"/>
    <col width="14" customWidth="1" min="8" max="8"/>
    <col width="11" customWidth="1" min="9" max="9"/>
    <col width="12" customWidth="1" min="10" max="10"/>
    <col width="12" customWidth="1" min="11" max="11"/>
    <col width="13" customWidth="1" min="12" max="12"/>
  </cols>
  <sheetData>
    <row r="1">
      <c r="A1" s="8" t="inlineStr">
        <is>
          <t>净值起日</t>
        </is>
      </c>
      <c r="B1" s="8" t="inlineStr">
        <is>
          <t>净值日</t>
        </is>
      </c>
      <c r="C1" s="8" t="inlineStr">
        <is>
          <t>公布涨跌幅(%)</t>
        </is>
      </c>
      <c r="D1" s="8" t="inlineStr">
        <is>
          <t>固定锚点贡献(%)</t>
        </is>
      </c>
      <c r="E1" s="8" t="inlineStr">
        <is>
          <t>严格Q1一致估算(%)</t>
        </is>
      </c>
      <c r="F1" s="8" t="inlineStr">
        <is>
          <t>严格Q1一致误差(pp)</t>
        </is>
      </c>
      <c r="G1" s="8" t="inlineStr">
        <is>
          <t>Q2行为基准估算(%)</t>
        </is>
      </c>
      <c r="H1" s="8" t="inlineStr">
        <is>
          <t>Q2行为基准误差(pp)</t>
        </is>
      </c>
      <c r="I1" s="8" t="inlineStr">
        <is>
          <t>满仓敏感估算(%)</t>
        </is>
      </c>
      <c r="J1" s="8" t="inlineStr">
        <is>
          <t>满仓敏感误差(pp)</t>
        </is>
      </c>
      <c r="K1" s="8" t="inlineStr">
        <is>
          <t>负现金诊断估算(%)</t>
        </is>
      </c>
      <c r="L1" s="8" t="inlineStr">
        <is>
          <t>负现金诊断误差(pp)</t>
        </is>
      </c>
    </row>
    <row r="2">
      <c r="A2" s="9" t="inlineStr">
        <is>
          <t>2026-06-05</t>
        </is>
      </c>
      <c r="B2" s="9" t="inlineStr">
        <is>
          <t>2026-06-08</t>
        </is>
      </c>
      <c r="C2" s="10" t="n">
        <v>-0.52</v>
      </c>
      <c r="D2" s="10" t="n">
        <v>1.3009</v>
      </c>
      <c r="E2" s="10" t="n">
        <v>0.4881</v>
      </c>
      <c r="F2" s="10" t="n">
        <v>1.0081</v>
      </c>
      <c r="G2" s="10" t="n">
        <v>0.0663</v>
      </c>
      <c r="H2" s="10" t="n">
        <v>0.5863</v>
      </c>
      <c r="I2" s="10" t="n">
        <v>-0.0185</v>
      </c>
      <c r="J2" s="10" t="n">
        <v>0.5014999999999999</v>
      </c>
      <c r="K2" s="10" t="n">
        <v>-0.3199</v>
      </c>
      <c r="L2" s="10" t="n">
        <v>0.2001</v>
      </c>
    </row>
    <row r="3">
      <c r="A3" s="9" t="inlineStr">
        <is>
          <t>2026-06-08</t>
        </is>
      </c>
      <c r="B3" s="9" t="inlineStr">
        <is>
          <t>2026-06-09</t>
        </is>
      </c>
      <c r="C3" s="10" t="n">
        <v>2.03</v>
      </c>
      <c r="D3" s="10" t="n">
        <v>-0.4252</v>
      </c>
      <c r="E3" s="10" t="n">
        <v>1.0477</v>
      </c>
      <c r="F3" s="10" t="n">
        <v>-0.9823</v>
      </c>
      <c r="G3" s="10" t="n">
        <v>2.5854</v>
      </c>
      <c r="H3" s="10" t="n">
        <v>0.5554</v>
      </c>
      <c r="I3" s="10" t="n">
        <v>2.497</v>
      </c>
      <c r="J3" s="10" t="n">
        <v>0.467</v>
      </c>
      <c r="K3" s="10" t="n">
        <v>2.205</v>
      </c>
      <c r="L3" s="10" t="n">
        <v>0.175</v>
      </c>
    </row>
    <row r="4">
      <c r="A4" s="9" t="inlineStr">
        <is>
          <t>2026-06-09</t>
        </is>
      </c>
      <c r="B4" s="9" t="inlineStr">
        <is>
          <t>2026-06-10</t>
        </is>
      </c>
      <c r="C4" s="10" t="n">
        <v>-3.19</v>
      </c>
      <c r="D4" s="10" t="n">
        <v>-1.4444</v>
      </c>
      <c r="E4" s="10" t="n">
        <v>-3.2248</v>
      </c>
      <c r="F4" s="10" t="n">
        <v>-0.0348</v>
      </c>
      <c r="G4" s="10" t="n">
        <v>-3.1146</v>
      </c>
      <c r="H4" s="10" t="n">
        <v>0.07539999999999999</v>
      </c>
      <c r="I4" s="10" t="n">
        <v>-3.012</v>
      </c>
      <c r="J4" s="10" t="n">
        <v>0.178</v>
      </c>
      <c r="K4" s="10" t="n">
        <v>-3.3745</v>
      </c>
      <c r="L4" s="10" t="n">
        <v>-0.1845</v>
      </c>
    </row>
    <row r="5">
      <c r="A5" s="9" t="inlineStr">
        <is>
          <t>2026-06-10</t>
        </is>
      </c>
      <c r="B5" s="9" t="inlineStr">
        <is>
          <t>2026-06-11</t>
        </is>
      </c>
      <c r="C5" s="10" t="n">
        <v>4.29</v>
      </c>
      <c r="D5" s="10" t="n">
        <v>2.4921</v>
      </c>
      <c r="E5" s="10" t="n">
        <v>3.6293</v>
      </c>
      <c r="F5" s="10" t="n">
        <v>-0.6607</v>
      </c>
      <c r="G5" s="10" t="n">
        <v>3.7167</v>
      </c>
      <c r="H5" s="10" t="n">
        <v>-0.5733</v>
      </c>
      <c r="I5" s="10" t="n">
        <v>3.8039</v>
      </c>
      <c r="J5" s="10" t="n">
        <v>-0.4861</v>
      </c>
      <c r="K5" s="10" t="n">
        <v>4.0974</v>
      </c>
      <c r="L5" s="10" t="n">
        <v>-0.1926</v>
      </c>
    </row>
    <row r="6">
      <c r="A6" s="9" t="inlineStr">
        <is>
          <t>2026-06-11</t>
        </is>
      </c>
      <c r="B6" s="9" t="inlineStr">
        <is>
          <t>2026-06-12</t>
        </is>
      </c>
      <c r="C6" s="10" t="n">
        <v>1.06</v>
      </c>
      <c r="D6" s="10" t="n">
        <v>1.2092</v>
      </c>
      <c r="E6" s="10" t="n">
        <v>2.0686</v>
      </c>
      <c r="F6" s="10" t="n">
        <v>1.0086</v>
      </c>
      <c r="G6" s="10" t="n">
        <v>1.6443</v>
      </c>
      <c r="H6" s="10" t="n">
        <v>0.5843</v>
      </c>
      <c r="I6" s="10" t="n">
        <v>1.5605</v>
      </c>
      <c r="J6" s="10" t="n">
        <v>0.5004999999999999</v>
      </c>
      <c r="K6" s="10" t="n">
        <v>1.2635</v>
      </c>
      <c r="L6" s="10" t="n">
        <v>0.2035</v>
      </c>
    </row>
    <row r="7">
      <c r="A7" s="9" t="inlineStr">
        <is>
          <t>2026-06-12</t>
        </is>
      </c>
      <c r="B7" s="9" t="inlineStr">
        <is>
          <t>2026-06-15</t>
        </is>
      </c>
      <c r="C7" s="10" t="n">
        <v>6.63</v>
      </c>
      <c r="D7" s="10" t="n">
        <v>1.9986</v>
      </c>
      <c r="E7" s="10" t="n">
        <v>5.6086</v>
      </c>
      <c r="F7" s="10" t="n">
        <v>-1.0214</v>
      </c>
      <c r="G7" s="10" t="n">
        <v>6.0499</v>
      </c>
      <c r="H7" s="10" t="n">
        <v>-0.5800999999999999</v>
      </c>
      <c r="I7" s="10" t="n">
        <v>6.1359</v>
      </c>
      <c r="J7" s="10" t="n">
        <v>-0.4941</v>
      </c>
      <c r="K7" s="10" t="n">
        <v>6.4455</v>
      </c>
      <c r="L7" s="10" t="n">
        <v>-0.1845</v>
      </c>
    </row>
    <row r="8">
      <c r="A8" s="9" t="inlineStr">
        <is>
          <t>2026-06-15</t>
        </is>
      </c>
      <c r="B8" s="9" t="inlineStr">
        <is>
          <t>2026-06-16</t>
        </is>
      </c>
      <c r="C8" s="10" t="n">
        <v>-1.65</v>
      </c>
      <c r="D8" s="10" t="n">
        <v>-1.8146</v>
      </c>
      <c r="E8" s="10" t="n">
        <v>-1.2445</v>
      </c>
      <c r="F8" s="10" t="n">
        <v>0.4055</v>
      </c>
      <c r="G8" s="10" t="n">
        <v>-1.0893</v>
      </c>
      <c r="H8" s="10" t="n">
        <v>0.5607</v>
      </c>
      <c r="I8" s="10" t="n">
        <v>-1.1744</v>
      </c>
      <c r="J8" s="10" t="n">
        <v>0.4756</v>
      </c>
      <c r="K8" s="10" t="n">
        <v>-1.8236</v>
      </c>
      <c r="L8" s="10" t="n">
        <v>-0.1736</v>
      </c>
    </row>
    <row r="9">
      <c r="A9" s="9" t="inlineStr">
        <is>
          <t>2026-06-16</t>
        </is>
      </c>
      <c r="B9" s="9" t="inlineStr">
        <is>
          <t>2026-06-17</t>
        </is>
      </c>
      <c r="C9" s="10" t="n">
        <v>2.1</v>
      </c>
      <c r="D9" s="10" t="n">
        <v>0.438</v>
      </c>
      <c r="E9" s="10" t="n">
        <v>1.099</v>
      </c>
      <c r="F9" s="10" t="n">
        <v>-1.001</v>
      </c>
      <c r="G9" s="10" t="n">
        <v>1.542</v>
      </c>
      <c r="H9" s="10" t="n">
        <v>-0.5580000000000001</v>
      </c>
      <c r="I9" s="10" t="n">
        <v>1.6127</v>
      </c>
      <c r="J9" s="10" t="n">
        <v>-0.4873</v>
      </c>
      <c r="K9" s="10" t="n">
        <v>1.8974</v>
      </c>
      <c r="L9" s="10" t="n">
        <v>-0.2026</v>
      </c>
    </row>
    <row r="10">
      <c r="A10" s="9" t="inlineStr">
        <is>
          <t>2026-06-17</t>
        </is>
      </c>
      <c r="B10" s="9" t="inlineStr">
        <is>
          <t>2026-06-18</t>
        </is>
      </c>
      <c r="C10" s="10" t="n">
        <v>4.11</v>
      </c>
      <c r="D10" s="10" t="n">
        <v>1.9582</v>
      </c>
      <c r="E10" s="10" t="n">
        <v>3.4999</v>
      </c>
      <c r="F10" s="10" t="n">
        <v>-0.6101</v>
      </c>
      <c r="G10" s="10" t="n">
        <v>4.0431</v>
      </c>
      <c r="H10" s="10" t="n">
        <v>-0.0669</v>
      </c>
      <c r="I10" s="10" t="n">
        <v>4.0257</v>
      </c>
      <c r="J10" s="10" t="n">
        <v>-0.0843</v>
      </c>
      <c r="K10" s="10" t="n">
        <v>4.1152</v>
      </c>
      <c r="L10" s="10" t="n">
        <v>0.0052</v>
      </c>
    </row>
    <row r="11">
      <c r="A11" s="9" t="inlineStr">
        <is>
          <t>2026-06-18</t>
        </is>
      </c>
      <c r="B11" s="9" t="inlineStr">
        <is>
          <t>2026-06-22</t>
        </is>
      </c>
      <c r="C11" s="10" t="n">
        <v>2.87</v>
      </c>
      <c r="D11" s="10" t="n">
        <v>1.318</v>
      </c>
      <c r="E11" s="10" t="n">
        <v>2.1629</v>
      </c>
      <c r="F11" s="10" t="n">
        <v>-0.7071</v>
      </c>
      <c r="G11" s="10" t="n">
        <v>3.2928</v>
      </c>
      <c r="H11" s="10" t="n">
        <v>0.4228</v>
      </c>
      <c r="I11" s="10" t="n">
        <v>3.3353</v>
      </c>
      <c r="J11" s="10" t="n">
        <v>0.4653</v>
      </c>
      <c r="K11" s="10" t="n">
        <v>3.0592</v>
      </c>
      <c r="L11" s="10" t="n">
        <v>0.1892</v>
      </c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>
      <c r="A13" s="8" t="inlineStr">
        <is>
          <t>情景</t>
        </is>
      </c>
      <c r="B13" s="8" t="inlineStr">
        <is>
          <t>最大绝对误差(pp)</t>
        </is>
      </c>
      <c r="C13" s="8" t="inlineStr">
        <is>
          <t>RMSE(pp)</t>
        </is>
      </c>
      <c r="D13" s="8" t="inlineStr">
        <is>
          <t>未披露合计(%)</t>
        </is>
      </c>
      <c r="E13" s="8" t="inlineStr">
        <is>
          <t>现金及其他(%)</t>
        </is>
      </c>
      <c r="F13" s="8" t="inlineStr">
        <is>
          <t>结论</t>
        </is>
      </c>
      <c r="G13" s="8" t="n"/>
      <c r="H13" s="8" t="n"/>
      <c r="I13" s="8" t="n"/>
      <c r="J13" s="8" t="n"/>
      <c r="K13" s="8" t="n"/>
      <c r="L13" s="8" t="n"/>
    </row>
    <row r="14">
      <c r="A14" s="9" t="inlineStr">
        <is>
          <t>严格Q1一致</t>
        </is>
      </c>
      <c r="B14" s="9" t="n">
        <v>1.0214</v>
      </c>
      <c r="C14" s="10" t="n">
        <v>0.8073</v>
      </c>
      <c r="D14" s="10" t="n">
        <v>52.67</v>
      </c>
      <c r="E14" s="10" t="n">
        <v>5.75</v>
      </c>
      <c r="F14" s="9" t="inlineStr">
        <is>
          <t>可作为Q1一致性下限，但误差较大</t>
        </is>
      </c>
      <c r="G14" s="9" t="n"/>
      <c r="H14" s="9" t="n"/>
      <c r="I14" s="9" t="n"/>
      <c r="J14" s="9" t="n"/>
      <c r="K14" s="9" t="n"/>
      <c r="L14" s="9" t="n"/>
    </row>
    <row r="15">
      <c r="A15" s="9" t="inlineStr">
        <is>
          <t>Q2行为基准</t>
        </is>
      </c>
      <c r="B15" s="9" t="n">
        <v>0.5863</v>
      </c>
      <c r="C15" s="10" t="n">
        <v>0.4973</v>
      </c>
      <c r="D15" s="10" t="n">
        <v>52.67</v>
      </c>
      <c r="E15" s="10" t="n">
        <v>5.75</v>
      </c>
      <c r="F15" s="9" t="inlineStr">
        <is>
          <t>主模型：更贴近近期行为，但未披露项非官方</t>
        </is>
      </c>
      <c r="G15" s="9" t="n"/>
      <c r="H15" s="9" t="n"/>
      <c r="I15" s="9" t="n"/>
      <c r="J15" s="9" t="n"/>
      <c r="K15" s="9" t="n"/>
      <c r="L15" s="9" t="n"/>
    </row>
    <row r="16">
      <c r="A16" s="9" t="inlineStr">
        <is>
          <t>满仓敏感</t>
        </is>
      </c>
      <c r="B16" s="9" t="n">
        <v>0.5014999999999999</v>
      </c>
      <c r="C16" s="10" t="n">
        <v>0.4381</v>
      </c>
      <c r="D16" s="10" t="n">
        <v>58.42</v>
      </c>
      <c r="E16" s="10" t="n">
        <v>0</v>
      </c>
      <c r="F16" s="9" t="inlineStr">
        <is>
          <t>敏感性：假设现金和其他被股票/基金吃满</t>
        </is>
      </c>
      <c r="G16" s="9" t="n"/>
      <c r="H16" s="9" t="n"/>
      <c r="I16" s="9" t="n"/>
      <c r="J16" s="9" t="n"/>
      <c r="K16" s="9" t="n"/>
      <c r="L16" s="9" t="n"/>
    </row>
    <row r="17">
      <c r="A17" s="9" t="inlineStr">
        <is>
          <t>负现金诊断</t>
        </is>
      </c>
      <c r="B17" s="9" t="n">
        <v>0.2035</v>
      </c>
      <c r="C17" s="10" t="n">
        <v>0.1801</v>
      </c>
      <c r="D17" s="10" t="n">
        <v>75</v>
      </c>
      <c r="E17" s="10" t="n">
        <v>-16.58</v>
      </c>
      <c r="F17" s="9" t="inlineStr">
        <is>
          <t>不可作为真实持仓，只说明接近0.2误差需要不现实仓位</t>
        </is>
      </c>
      <c r="G17" s="9" t="n"/>
      <c r="H17" s="9" t="n"/>
      <c r="I17" s="9" t="n"/>
      <c r="J17" s="9" t="n"/>
      <c r="K17" s="9" t="n"/>
      <c r="L17" s="9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5" customWidth="1" min="3" max="3"/>
    <col width="10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分组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权重(%)</t>
        </is>
      </c>
      <c r="E1" s="1" t="inlineStr">
        <is>
          <t>2026-06-08收益(%)</t>
        </is>
      </c>
      <c r="F1" s="1" t="inlineStr">
        <is>
          <t>2026-06-09收益(%)</t>
        </is>
      </c>
      <c r="G1" s="1" t="inlineStr">
        <is>
          <t>2026-06-10收益(%)</t>
        </is>
      </c>
      <c r="H1" s="1" t="inlineStr">
        <is>
          <t>2026-06-11收益(%)</t>
        </is>
      </c>
      <c r="I1" s="1" t="inlineStr">
        <is>
          <t>2026-06-12收益(%)</t>
        </is>
      </c>
      <c r="J1" s="1" t="inlineStr">
        <is>
          <t>2026-06-15收益(%)</t>
        </is>
      </c>
      <c r="K1" s="1" t="inlineStr">
        <is>
          <t>2026-06-16收益(%)</t>
        </is>
      </c>
      <c r="L1" s="1" t="inlineStr">
        <is>
          <t>2026-06-17收益(%)</t>
        </is>
      </c>
      <c r="M1" s="1" t="inlineStr">
        <is>
          <t>2026-06-18收益(%)</t>
        </is>
      </c>
      <c r="N1" s="1" t="inlineStr">
        <is>
          <t>2026-06-22收益(%)</t>
        </is>
      </c>
      <c r="O1" s="1" t="inlineStr">
        <is>
          <t>2026-06-08贡献(pp)</t>
        </is>
      </c>
      <c r="P1" s="1" t="inlineStr">
        <is>
          <t>2026-06-09贡献(pp)</t>
        </is>
      </c>
      <c r="Q1" s="1" t="inlineStr">
        <is>
          <t>2026-06-10贡献(pp)</t>
        </is>
      </c>
      <c r="R1" s="1" t="inlineStr">
        <is>
          <t>2026-06-11贡献(pp)</t>
        </is>
      </c>
      <c r="S1" s="1" t="inlineStr">
        <is>
          <t>2026-06-12贡献(pp)</t>
        </is>
      </c>
      <c r="T1" s="1" t="inlineStr">
        <is>
          <t>2026-06-15贡献(pp)</t>
        </is>
      </c>
      <c r="U1" s="1" t="inlineStr">
        <is>
          <t>2026-06-16贡献(pp)</t>
        </is>
      </c>
      <c r="V1" s="1" t="inlineStr">
        <is>
          <t>2026-06-17贡献(pp)</t>
        </is>
      </c>
      <c r="W1" s="1" t="inlineStr">
        <is>
          <t>2026-06-18贡献(pp)</t>
        </is>
      </c>
      <c r="X1" s="1" t="inlineStr">
        <is>
          <t>2026-06-22贡献(pp)</t>
        </is>
      </c>
    </row>
    <row r="2">
      <c r="A2" s="4" t="inlineStr">
        <is>
          <t>固定锚点</t>
        </is>
      </c>
      <c r="B2" s="4" t="inlineStr">
        <is>
          <t>NVDA</t>
        </is>
      </c>
      <c r="C2" s="4" t="inlineStr">
        <is>
          <t>英伟达</t>
        </is>
      </c>
      <c r="D2" s="4" t="n">
        <v>4.64</v>
      </c>
      <c r="E2" s="4" t="n">
        <v>1.6058</v>
      </c>
      <c r="F2" s="4" t="n">
        <v>-0.1124</v>
      </c>
      <c r="G2" s="4" t="n">
        <v>-3.7322</v>
      </c>
      <c r="H2" s="4" t="n">
        <v>2.2656</v>
      </c>
      <c r="I2" s="4" t="n">
        <v>0.1562</v>
      </c>
      <c r="J2" s="4" t="n">
        <v>3.2555</v>
      </c>
      <c r="K2" s="4" t="n">
        <v>-2.3694</v>
      </c>
      <c r="L2" s="4" t="n">
        <v>-1.3307</v>
      </c>
      <c r="M2" s="4" t="n">
        <v>3.1251</v>
      </c>
      <c r="N2" s="4" t="n">
        <v>-0.9683</v>
      </c>
      <c r="O2" s="4" t="n">
        <v>0.0745</v>
      </c>
      <c r="P2" s="4" t="n">
        <v>-0.0052</v>
      </c>
      <c r="Q2" s="4" t="n">
        <v>-0.1732</v>
      </c>
      <c r="R2" s="4" t="n">
        <v>0.1051</v>
      </c>
      <c r="S2" s="4" t="n">
        <v>0.0072</v>
      </c>
      <c r="T2" s="4" t="n">
        <v>0.1511</v>
      </c>
      <c r="U2" s="4" t="n">
        <v>-0.1099</v>
      </c>
      <c r="V2" s="4" t="n">
        <v>-0.0617</v>
      </c>
      <c r="W2" s="4" t="n">
        <v>0.145</v>
      </c>
      <c r="X2" s="4" t="n">
        <v>-0.0449</v>
      </c>
    </row>
    <row r="3">
      <c r="A3" s="4" t="inlineStr">
        <is>
          <t>固定锚点</t>
        </is>
      </c>
      <c r="B3" s="4" t="inlineStr">
        <is>
          <t>TSM</t>
        </is>
      </c>
      <c r="C3" s="4" t="inlineStr">
        <is>
          <t>台积电ADR</t>
        </is>
      </c>
      <c r="D3" s="4" t="n">
        <v>4.37</v>
      </c>
      <c r="E3" s="4" t="n">
        <v>2.6798</v>
      </c>
      <c r="F3" s="4" t="n">
        <v>0.3662</v>
      </c>
      <c r="G3" s="4" t="n">
        <v>-4.4798</v>
      </c>
      <c r="H3" s="4" t="n">
        <v>3.0597</v>
      </c>
      <c r="I3" s="4" t="n">
        <v>0.6792</v>
      </c>
      <c r="J3" s="4" t="n">
        <v>3.8367</v>
      </c>
      <c r="K3" s="4" t="n">
        <v>-3.5246</v>
      </c>
      <c r="L3" s="4" t="n">
        <v>1.4842</v>
      </c>
      <c r="M3" s="4" t="n">
        <v>7.1155</v>
      </c>
      <c r="N3" s="4" t="n">
        <v>1.201</v>
      </c>
      <c r="O3" s="4" t="n">
        <v>0.1171</v>
      </c>
      <c r="P3" s="4" t="n">
        <v>0.016</v>
      </c>
      <c r="Q3" s="4" t="n">
        <v>-0.1958</v>
      </c>
      <c r="R3" s="4" t="n">
        <v>0.1337</v>
      </c>
      <c r="S3" s="4" t="n">
        <v>0.0297</v>
      </c>
      <c r="T3" s="4" t="n">
        <v>0.1677</v>
      </c>
      <c r="U3" s="4" t="n">
        <v>-0.154</v>
      </c>
      <c r="V3" s="4" t="n">
        <v>0.0649</v>
      </c>
      <c r="W3" s="4" t="n">
        <v>0.3109</v>
      </c>
      <c r="X3" s="4" t="n">
        <v>0.0525</v>
      </c>
    </row>
    <row r="4">
      <c r="A4" s="4" t="inlineStr">
        <is>
          <t>固定锚点</t>
        </is>
      </c>
      <c r="B4" s="4" t="inlineStr">
        <is>
          <t>LITE</t>
        </is>
      </c>
      <c r="C4" s="4" t="inlineStr">
        <is>
          <t>Lumentum</t>
        </is>
      </c>
      <c r="D4" s="4" t="n">
        <v>4.15</v>
      </c>
      <c r="E4" s="4" t="n">
        <v>3.5526</v>
      </c>
      <c r="F4" s="4" t="n">
        <v>-8.129300000000001</v>
      </c>
      <c r="G4" s="4" t="n">
        <v>3.8332</v>
      </c>
      <c r="H4" s="4" t="n">
        <v>4.304</v>
      </c>
      <c r="I4" s="4" t="n">
        <v>3.5938</v>
      </c>
      <c r="J4" s="4" t="n">
        <v>3.5881</v>
      </c>
      <c r="K4" s="4" t="n">
        <v>-8.5511</v>
      </c>
      <c r="L4" s="4" t="n">
        <v>-0.6146</v>
      </c>
      <c r="M4" s="4" t="n">
        <v>-2.1318</v>
      </c>
      <c r="N4" s="4" t="n">
        <v>5.1682</v>
      </c>
      <c r="O4" s="4" t="n">
        <v>0.1474</v>
      </c>
      <c r="P4" s="4" t="n">
        <v>-0.3374</v>
      </c>
      <c r="Q4" s="4" t="n">
        <v>0.1591</v>
      </c>
      <c r="R4" s="4" t="n">
        <v>0.1786</v>
      </c>
      <c r="S4" s="4" t="n">
        <v>0.1491</v>
      </c>
      <c r="T4" s="4" t="n">
        <v>0.1489</v>
      </c>
      <c r="U4" s="4" t="n">
        <v>-0.3549</v>
      </c>
      <c r="V4" s="4" t="n">
        <v>-0.0255</v>
      </c>
      <c r="W4" s="4" t="n">
        <v>-0.0885</v>
      </c>
      <c r="X4" s="4" t="n">
        <v>0.2145</v>
      </c>
    </row>
    <row r="5">
      <c r="A5" s="4" t="inlineStr">
        <is>
          <t>固定锚点</t>
        </is>
      </c>
      <c r="B5" s="4" t="inlineStr">
        <is>
          <t>TER</t>
        </is>
      </c>
      <c r="C5" s="4" t="inlineStr">
        <is>
          <t>Teradyne</t>
        </is>
      </c>
      <c r="D5" s="4" t="n">
        <v>3.83</v>
      </c>
      <c r="E5" s="4" t="n">
        <v>4.5588</v>
      </c>
      <c r="F5" s="4" t="n">
        <v>-1.3606</v>
      </c>
      <c r="G5" s="4" t="n">
        <v>-5.8557</v>
      </c>
      <c r="H5" s="4" t="n">
        <v>9.775600000000001</v>
      </c>
      <c r="I5" s="4" t="n">
        <v>5.7158</v>
      </c>
      <c r="J5" s="4" t="n">
        <v>6.9517</v>
      </c>
      <c r="K5" s="4" t="n">
        <v>-5.3301</v>
      </c>
      <c r="L5" s="4" t="n">
        <v>-0.193</v>
      </c>
      <c r="M5" s="4" t="n">
        <v>7.3671</v>
      </c>
      <c r="N5" s="4" t="n">
        <v>4.357</v>
      </c>
      <c r="O5" s="4" t="n">
        <v>0.1746</v>
      </c>
      <c r="P5" s="4" t="n">
        <v>-0.0521</v>
      </c>
      <c r="Q5" s="4" t="n">
        <v>-0.2243</v>
      </c>
      <c r="R5" s="4" t="n">
        <v>0.3744</v>
      </c>
      <c r="S5" s="4" t="n">
        <v>0.2189</v>
      </c>
      <c r="T5" s="4" t="n">
        <v>0.2663</v>
      </c>
      <c r="U5" s="4" t="n">
        <v>-0.2041</v>
      </c>
      <c r="V5" s="4" t="n">
        <v>-0.0074</v>
      </c>
      <c r="W5" s="4" t="n">
        <v>0.2822</v>
      </c>
      <c r="X5" s="4" t="n">
        <v>0.1669</v>
      </c>
    </row>
    <row r="6">
      <c r="A6" s="4" t="inlineStr">
        <is>
          <t>固定锚点</t>
        </is>
      </c>
      <c r="B6" s="4" t="inlineStr">
        <is>
          <t>KLAC</t>
        </is>
      </c>
      <c r="C6" s="4" t="inlineStr">
        <is>
          <t>KLA</t>
        </is>
      </c>
      <c r="D6" s="4" t="n">
        <v>3.64</v>
      </c>
      <c r="E6" s="4" t="n">
        <v>9.142099999999999</v>
      </c>
      <c r="F6" s="4" t="n">
        <v>1.5903</v>
      </c>
      <c r="G6" s="4" t="n">
        <v>-0.1744</v>
      </c>
      <c r="H6" s="4" t="n">
        <v>12.9735</v>
      </c>
      <c r="I6" s="4" t="n">
        <v>5.5464</v>
      </c>
      <c r="J6" s="4" t="n">
        <v>0.4635</v>
      </c>
      <c r="K6" s="4" t="n">
        <v>-7.4421</v>
      </c>
      <c r="L6" s="4" t="n">
        <v>0.5899</v>
      </c>
      <c r="M6" s="4" t="n">
        <v>8.908799999999999</v>
      </c>
      <c r="N6" s="4" t="n">
        <v>3.6986</v>
      </c>
      <c r="O6" s="4" t="n">
        <v>0.3328</v>
      </c>
      <c r="P6" s="4" t="n">
        <v>0.0579</v>
      </c>
      <c r="Q6" s="4" t="n">
        <v>-0.0063</v>
      </c>
      <c r="R6" s="4" t="n">
        <v>0.4722</v>
      </c>
      <c r="S6" s="4" t="n">
        <v>0.2019</v>
      </c>
      <c r="T6" s="4" t="n">
        <v>0.0169</v>
      </c>
      <c r="U6" s="4" t="n">
        <v>-0.2709</v>
      </c>
      <c r="V6" s="4" t="n">
        <v>0.0215</v>
      </c>
      <c r="W6" s="4" t="n">
        <v>0.3243</v>
      </c>
      <c r="X6" s="4" t="n">
        <v>0.1346</v>
      </c>
    </row>
    <row r="7">
      <c r="A7" s="4" t="inlineStr">
        <is>
          <t>固定锚点</t>
        </is>
      </c>
      <c r="B7" s="4" t="inlineStr">
        <is>
          <t>TSLA</t>
        </is>
      </c>
      <c r="C7" s="4" t="inlineStr">
        <is>
          <t>特斯拉</t>
        </is>
      </c>
      <c r="D7" s="4" t="n">
        <v>3.57</v>
      </c>
      <c r="E7" s="4" t="n">
        <v>4.4673</v>
      </c>
      <c r="F7" s="4" t="n">
        <v>-2.9</v>
      </c>
      <c r="G7" s="4" t="n">
        <v>-3.8041</v>
      </c>
      <c r="H7" s="4" t="n">
        <v>4.6481</v>
      </c>
      <c r="I7" s="4" t="n">
        <v>1.8239</v>
      </c>
      <c r="J7" s="4" t="n">
        <v>0.8851</v>
      </c>
      <c r="K7" s="4" t="n">
        <v>-1.5756</v>
      </c>
      <c r="L7" s="4" t="n">
        <v>-2.0462</v>
      </c>
      <c r="M7" s="4" t="n">
        <v>1.2073</v>
      </c>
      <c r="N7" s="4" t="n">
        <v>1.1386</v>
      </c>
      <c r="O7" s="4" t="n">
        <v>0.1595</v>
      </c>
      <c r="P7" s="4" t="n">
        <v>-0.1035</v>
      </c>
      <c r="Q7" s="4" t="n">
        <v>-0.1358</v>
      </c>
      <c r="R7" s="4" t="n">
        <v>0.1659</v>
      </c>
      <c r="S7" s="4" t="n">
        <v>0.06510000000000001</v>
      </c>
      <c r="T7" s="4" t="n">
        <v>0.0316</v>
      </c>
      <c r="U7" s="4" t="n">
        <v>-0.0562</v>
      </c>
      <c r="V7" s="4" t="n">
        <v>-0.073</v>
      </c>
      <c r="W7" s="4" t="n">
        <v>0.0431</v>
      </c>
      <c r="X7" s="4" t="n">
        <v>0.0406</v>
      </c>
    </row>
    <row r="8">
      <c r="A8" s="4" t="inlineStr">
        <is>
          <t>固定锚点</t>
        </is>
      </c>
      <c r="B8" s="4" t="inlineStr">
        <is>
          <t>AVGO</t>
        </is>
      </c>
      <c r="C8" s="4" t="inlineStr">
        <is>
          <t>博通</t>
        </is>
      </c>
      <c r="D8" s="4" t="n">
        <v>3.43</v>
      </c>
      <c r="E8" s="4" t="n">
        <v>2.6966</v>
      </c>
      <c r="F8" s="4" t="n">
        <v>-1.0172</v>
      </c>
      <c r="G8" s="4" t="n">
        <v>-5.1153</v>
      </c>
      <c r="H8" s="4" t="n">
        <v>3.6659</v>
      </c>
      <c r="I8" s="4" t="n">
        <v>-0.9077</v>
      </c>
      <c r="J8" s="4" t="n">
        <v>2.8252</v>
      </c>
      <c r="K8" s="4" t="n">
        <v>-4.3709</v>
      </c>
      <c r="L8" s="4" t="n">
        <v>4.2977</v>
      </c>
      <c r="M8" s="4" t="n">
        <v>4.8725</v>
      </c>
      <c r="N8" s="4" t="n">
        <v>-4.6724</v>
      </c>
      <c r="O8" s="4" t="n">
        <v>0.0925</v>
      </c>
      <c r="P8" s="4" t="n">
        <v>-0.0349</v>
      </c>
      <c r="Q8" s="4" t="n">
        <v>-0.1755</v>
      </c>
      <c r="R8" s="4" t="n">
        <v>0.1257</v>
      </c>
      <c r="S8" s="4" t="n">
        <v>-0.0311</v>
      </c>
      <c r="T8" s="4" t="n">
        <v>0.0969</v>
      </c>
      <c r="U8" s="4" t="n">
        <v>-0.1499</v>
      </c>
      <c r="V8" s="4" t="n">
        <v>0.1474</v>
      </c>
      <c r="W8" s="4" t="n">
        <v>0.1671</v>
      </c>
      <c r="X8" s="4" t="n">
        <v>-0.1603</v>
      </c>
    </row>
    <row r="9">
      <c r="A9" s="4" t="inlineStr">
        <is>
          <t>固定锚点</t>
        </is>
      </c>
      <c r="B9" s="4" t="inlineStr">
        <is>
          <t>COHR</t>
        </is>
      </c>
      <c r="C9" s="4" t="inlineStr">
        <is>
          <t>Coherent</t>
        </is>
      </c>
      <c r="D9" s="4" t="n">
        <v>3.34</v>
      </c>
      <c r="E9" s="4" t="n">
        <v>6.4896</v>
      </c>
      <c r="F9" s="4" t="n">
        <v>-11.3507</v>
      </c>
      <c r="G9" s="4" t="n">
        <v>-0.3287</v>
      </c>
      <c r="H9" s="4" t="n">
        <v>2.5287</v>
      </c>
      <c r="I9" s="4" t="n">
        <v>5.8997</v>
      </c>
      <c r="J9" s="4" t="n">
        <v>7.1891</v>
      </c>
      <c r="K9" s="4" t="n">
        <v>-7.4953</v>
      </c>
      <c r="L9" s="4" t="n">
        <v>-1.0345</v>
      </c>
      <c r="M9" s="4" t="n">
        <v>3.0031</v>
      </c>
      <c r="N9" s="4" t="n">
        <v>9.2179</v>
      </c>
      <c r="O9" s="4" t="n">
        <v>0.2168</v>
      </c>
      <c r="P9" s="4" t="n">
        <v>-0.3791</v>
      </c>
      <c r="Q9" s="4" t="n">
        <v>-0.011</v>
      </c>
      <c r="R9" s="4" t="n">
        <v>0.08450000000000001</v>
      </c>
      <c r="S9" s="4" t="n">
        <v>0.197</v>
      </c>
      <c r="T9" s="4" t="n">
        <v>0.2401</v>
      </c>
      <c r="U9" s="4" t="n">
        <v>-0.2503</v>
      </c>
      <c r="V9" s="4" t="n">
        <v>-0.0346</v>
      </c>
      <c r="W9" s="4" t="n">
        <v>0.1003</v>
      </c>
      <c r="X9" s="4" t="n">
        <v>0.3079</v>
      </c>
    </row>
    <row r="10">
      <c r="A10" s="4" t="inlineStr">
        <is>
          <t>固定锚点</t>
        </is>
      </c>
      <c r="B10" s="4" t="inlineStr">
        <is>
          <t>AMD</t>
        </is>
      </c>
      <c r="C10" s="4" t="inlineStr">
        <is>
          <t>AMD</t>
        </is>
      </c>
      <c r="D10" s="4" t="n">
        <v>3.31</v>
      </c>
      <c r="E10" s="4" t="n">
        <v>5.0111</v>
      </c>
      <c r="F10" s="4" t="n">
        <v>-2.9221</v>
      </c>
      <c r="G10" s="4" t="n">
        <v>-4.86</v>
      </c>
      <c r="H10" s="4" t="n">
        <v>8.016400000000001</v>
      </c>
      <c r="I10" s="4" t="n">
        <v>4.7333</v>
      </c>
      <c r="J10" s="4" t="n">
        <v>6.6845</v>
      </c>
      <c r="K10" s="4" t="n">
        <v>-7.3009</v>
      </c>
      <c r="L10" s="4" t="n">
        <v>1.0231</v>
      </c>
      <c r="M10" s="4" t="n">
        <v>5.0337</v>
      </c>
      <c r="N10" s="4" t="n">
        <v>2.6537</v>
      </c>
      <c r="O10" s="4" t="n">
        <v>0.1659</v>
      </c>
      <c r="P10" s="4" t="n">
        <v>-0.09669999999999999</v>
      </c>
      <c r="Q10" s="4" t="n">
        <v>-0.1609</v>
      </c>
      <c r="R10" s="4" t="n">
        <v>0.2653</v>
      </c>
      <c r="S10" s="4" t="n">
        <v>0.1567</v>
      </c>
      <c r="T10" s="4" t="n">
        <v>0.2213</v>
      </c>
      <c r="U10" s="4" t="n">
        <v>-0.2417</v>
      </c>
      <c r="V10" s="4" t="n">
        <v>0.0339</v>
      </c>
      <c r="W10" s="4" t="n">
        <v>0.1666</v>
      </c>
      <c r="X10" s="4" t="n">
        <v>0.0878</v>
      </c>
    </row>
    <row r="11">
      <c r="A11" s="4" t="inlineStr">
        <is>
          <t>固定锚点</t>
        </is>
      </c>
      <c r="B11" s="4" t="inlineStr">
        <is>
          <t>LRCX</t>
        </is>
      </c>
      <c r="C11" s="4" t="inlineStr">
        <is>
          <t>Lam Research</t>
        </is>
      </c>
      <c r="D11" s="4" t="n">
        <v>3.27</v>
      </c>
      <c r="E11" s="4" t="n">
        <v>6.854</v>
      </c>
      <c r="F11" s="4" t="n">
        <v>0.9396</v>
      </c>
      <c r="G11" s="4" t="n">
        <v>-1.6383</v>
      </c>
      <c r="H11" s="4" t="n">
        <v>12.7037</v>
      </c>
      <c r="I11" s="4" t="n">
        <v>1.1834</v>
      </c>
      <c r="J11" s="4" t="n">
        <v>5.7381</v>
      </c>
      <c r="K11" s="4" t="n">
        <v>-5.0317</v>
      </c>
      <c r="L11" s="4" t="n">
        <v>1.3104</v>
      </c>
      <c r="M11" s="4" t="n">
        <v>4.1468</v>
      </c>
      <c r="N11" s="4" t="n">
        <v>5.2694</v>
      </c>
      <c r="O11" s="4" t="n">
        <v>0.2241</v>
      </c>
      <c r="P11" s="4" t="n">
        <v>0.0307</v>
      </c>
      <c r="Q11" s="4" t="n">
        <v>-0.0536</v>
      </c>
      <c r="R11" s="4" t="n">
        <v>0.4154</v>
      </c>
      <c r="S11" s="4" t="n">
        <v>0.0387</v>
      </c>
      <c r="T11" s="4" t="n">
        <v>0.1876</v>
      </c>
      <c r="U11" s="4" t="n">
        <v>-0.1645</v>
      </c>
      <c r="V11" s="4" t="n">
        <v>0.0429</v>
      </c>
      <c r="W11" s="4" t="n">
        <v>0.1356</v>
      </c>
      <c r="X11" s="4" t="n">
        <v>0.1723</v>
      </c>
    </row>
    <row r="12">
      <c r="A12" s="4" t="inlineStr">
        <is>
          <t>固定锚点</t>
        </is>
      </c>
      <c r="B12" s="4" t="inlineStr">
        <is>
          <t>7709.HK</t>
        </is>
      </c>
      <c r="C12" s="4" t="inlineStr">
        <is>
          <t>CSOP SK Hynix Daily 2x</t>
        </is>
      </c>
      <c r="D12" s="4" t="n">
        <v>2.3</v>
      </c>
      <c r="E12" s="4" t="n">
        <v>-7.8983</v>
      </c>
      <c r="F12" s="4" t="n">
        <v>15.4675</v>
      </c>
      <c r="G12" s="4" t="n">
        <v>-13.5291</v>
      </c>
      <c r="H12" s="4" t="n">
        <v>7.8358</v>
      </c>
      <c r="I12" s="4" t="n">
        <v>0.5189</v>
      </c>
      <c r="J12" s="4" t="n">
        <v>13.4599</v>
      </c>
      <c r="K12" s="4" t="n">
        <v>6.0065</v>
      </c>
      <c r="L12" s="4" t="n">
        <v>12.6956</v>
      </c>
      <c r="M12" s="4" t="n">
        <v>11.3499</v>
      </c>
      <c r="N12" s="4" t="n">
        <v>16.5567</v>
      </c>
      <c r="O12" s="4" t="n">
        <v>-0.1817</v>
      </c>
      <c r="P12" s="4" t="n">
        <v>0.3558</v>
      </c>
      <c r="Q12" s="4" t="n">
        <v>-0.3112</v>
      </c>
      <c r="R12" s="4" t="n">
        <v>0.1802</v>
      </c>
      <c r="S12" s="4" t="n">
        <v>0.0119</v>
      </c>
      <c r="T12" s="4" t="n">
        <v>0.3096</v>
      </c>
      <c r="U12" s="4" t="n">
        <v>0.1382</v>
      </c>
      <c r="V12" s="4" t="n">
        <v>0.292</v>
      </c>
      <c r="W12" s="4" t="n">
        <v>0.261</v>
      </c>
      <c r="X12" s="4" t="n">
        <v>0.3808</v>
      </c>
    </row>
    <row r="13">
      <c r="A13" s="4" t="inlineStr">
        <is>
          <t>固定锚点</t>
        </is>
      </c>
      <c r="B13" s="4" t="inlineStr">
        <is>
          <t>7747.HK</t>
        </is>
      </c>
      <c r="C13" s="4" t="inlineStr">
        <is>
          <t>CSOP Samsung Electronics Daily 2x</t>
        </is>
      </c>
      <c r="D13" s="4" t="n">
        <v>1.3</v>
      </c>
      <c r="E13" s="4" t="n">
        <v>-17.119</v>
      </c>
      <c r="F13" s="4" t="n">
        <v>9.494300000000001</v>
      </c>
      <c r="G13" s="4" t="n">
        <v>-12.0076</v>
      </c>
      <c r="H13" s="4" t="n">
        <v>-0.6979</v>
      </c>
      <c r="I13" s="4" t="n">
        <v>12.6187</v>
      </c>
      <c r="J13" s="4" t="n">
        <v>12.3638</v>
      </c>
      <c r="K13" s="4" t="n">
        <v>0.2907</v>
      </c>
      <c r="L13" s="4" t="n">
        <v>2.9031</v>
      </c>
      <c r="M13" s="4" t="n">
        <v>8.4999</v>
      </c>
      <c r="N13" s="4" t="n">
        <v>-2.6749</v>
      </c>
      <c r="O13" s="4" t="n">
        <v>-0.2225</v>
      </c>
      <c r="P13" s="4" t="n">
        <v>0.1234</v>
      </c>
      <c r="Q13" s="4" t="n">
        <v>-0.1561</v>
      </c>
      <c r="R13" s="4" t="n">
        <v>-0.0091</v>
      </c>
      <c r="S13" s="4" t="n">
        <v>0.164</v>
      </c>
      <c r="T13" s="4" t="n">
        <v>0.1607</v>
      </c>
      <c r="U13" s="4" t="n">
        <v>0.0038</v>
      </c>
      <c r="V13" s="4" t="n">
        <v>0.0377</v>
      </c>
      <c r="W13" s="4" t="n">
        <v>0.1105</v>
      </c>
      <c r="X13" s="4" t="n">
        <v>-0.0348</v>
      </c>
    </row>
    <row r="14">
      <c r="A14" s="4" t="inlineStr">
        <is>
          <t>未披露候选</t>
        </is>
      </c>
      <c r="B14" s="4" t="inlineStr">
        <is>
          <t>002738.SZ</t>
        </is>
      </c>
      <c r="C14" s="4" t="inlineStr">
        <is>
          <t>中矿资源</t>
        </is>
      </c>
      <c r="D14" s="4" t="n">
        <v>7.0904</v>
      </c>
      <c r="E14" s="4" t="n">
        <v>-7.0242</v>
      </c>
      <c r="F14" s="4" t="n">
        <v>5.749</v>
      </c>
      <c r="G14" s="4" t="n">
        <v>-0.4182</v>
      </c>
      <c r="H14" s="4" t="n">
        <v>2.7996</v>
      </c>
      <c r="I14" s="4" t="n">
        <v>4.1362</v>
      </c>
      <c r="J14" s="4" t="n">
        <v>2.1576</v>
      </c>
      <c r="K14" s="4" t="n">
        <v>-1.12</v>
      </c>
      <c r="L14" s="4" t="n">
        <v>0.6796</v>
      </c>
      <c r="M14" s="4" t="n">
        <v>-2.4269</v>
      </c>
      <c r="N14" s="4" t="n">
        <v>3.5085</v>
      </c>
      <c r="O14" s="4" t="n">
        <v>-0.498</v>
      </c>
      <c r="P14" s="4" t="n">
        <v>0.4076</v>
      </c>
      <c r="Q14" s="4" t="n">
        <v>-0.0297</v>
      </c>
      <c r="R14" s="4" t="n">
        <v>0.1985</v>
      </c>
      <c r="S14" s="4" t="n">
        <v>0.2933</v>
      </c>
      <c r="T14" s="4" t="n">
        <v>0.153</v>
      </c>
      <c r="U14" s="4" t="n">
        <v>-0.0794</v>
      </c>
      <c r="V14" s="4" t="n">
        <v>0.0482</v>
      </c>
      <c r="W14" s="4" t="n">
        <v>-0.1721</v>
      </c>
      <c r="X14" s="4" t="n">
        <v>0.2488</v>
      </c>
    </row>
    <row r="15">
      <c r="A15" s="4" t="inlineStr">
        <is>
          <t>未披露候选</t>
        </is>
      </c>
      <c r="B15" s="4" t="inlineStr">
        <is>
          <t>RACE</t>
        </is>
      </c>
      <c r="C15" s="4" t="inlineStr">
        <is>
          <t>法拉利</t>
        </is>
      </c>
      <c r="D15" s="4" t="n">
        <v>1.1326</v>
      </c>
      <c r="E15" s="4" t="n">
        <v>1.2003</v>
      </c>
      <c r="F15" s="4" t="n">
        <v>1.7976</v>
      </c>
      <c r="G15" s="4" t="n">
        <v>-3.0656</v>
      </c>
      <c r="H15" s="4" t="n">
        <v>5.5465</v>
      </c>
      <c r="I15" s="4" t="n">
        <v>-2.9293</v>
      </c>
      <c r="J15" s="4" t="n">
        <v>3.703</v>
      </c>
      <c r="K15" s="4" t="n">
        <v>-0.791</v>
      </c>
      <c r="L15" s="4" t="n">
        <v>-3.2366</v>
      </c>
      <c r="M15" s="4" t="n">
        <v>2.3882</v>
      </c>
      <c r="N15" s="4" t="n">
        <v>-3.7859</v>
      </c>
      <c r="O15" s="4" t="n">
        <v>0.0136</v>
      </c>
      <c r="P15" s="4" t="n">
        <v>0.0204</v>
      </c>
      <c r="Q15" s="4" t="n">
        <v>-0.0347</v>
      </c>
      <c r="R15" s="4" t="n">
        <v>0.06279999999999999</v>
      </c>
      <c r="S15" s="4" t="n">
        <v>-0.0332</v>
      </c>
      <c r="T15" s="4" t="n">
        <v>0.0419</v>
      </c>
      <c r="U15" s="4" t="n">
        <v>-0.008999999999999999</v>
      </c>
      <c r="V15" s="4" t="n">
        <v>-0.0367</v>
      </c>
      <c r="W15" s="4" t="n">
        <v>0.027</v>
      </c>
      <c r="X15" s="4" t="n">
        <v>-0.0429</v>
      </c>
    </row>
    <row r="16">
      <c r="A16" s="4" t="inlineStr">
        <is>
          <t>未披露候选</t>
        </is>
      </c>
      <c r="B16" s="4" t="inlineStr">
        <is>
          <t>605376.SS</t>
        </is>
      </c>
      <c r="C16" s="4" t="inlineStr">
        <is>
          <t>博迁新材</t>
        </is>
      </c>
      <c r="D16" s="4" t="n">
        <v>5.4607</v>
      </c>
      <c r="E16" s="4" t="n">
        <v>-3.0323</v>
      </c>
      <c r="F16" s="4" t="n">
        <v>10</v>
      </c>
      <c r="G16" s="4" t="n">
        <v>1.9443</v>
      </c>
      <c r="H16" s="4" t="n">
        <v>-6.701</v>
      </c>
      <c r="I16" s="4" t="n">
        <v>-2.2044</v>
      </c>
      <c r="J16" s="4" t="n">
        <v>9.9994</v>
      </c>
      <c r="K16" s="4" t="n">
        <v>9.3935</v>
      </c>
      <c r="L16" s="4" t="n">
        <v>-1.277</v>
      </c>
      <c r="M16" s="4" t="n">
        <v>10.001</v>
      </c>
      <c r="N16" s="4" t="n">
        <v>6.3032</v>
      </c>
      <c r="O16" s="4" t="n">
        <v>-0.1656</v>
      </c>
      <c r="P16" s="4" t="n">
        <v>0.5461</v>
      </c>
      <c r="Q16" s="4" t="n">
        <v>0.1062</v>
      </c>
      <c r="R16" s="4" t="n">
        <v>-0.3659</v>
      </c>
      <c r="S16" s="4" t="n">
        <v>-0.1204</v>
      </c>
      <c r="T16" s="4" t="n">
        <v>0.546</v>
      </c>
      <c r="U16" s="4" t="n">
        <v>0.513</v>
      </c>
      <c r="V16" s="4" t="n">
        <v>-0.0697</v>
      </c>
      <c r="W16" s="4" t="n">
        <v>0.5461</v>
      </c>
      <c r="X16" s="4" t="n">
        <v>0.3442</v>
      </c>
    </row>
    <row r="17">
      <c r="A17" s="4" t="inlineStr">
        <is>
          <t>未披露候选</t>
        </is>
      </c>
      <c r="B17" s="4" t="inlineStr">
        <is>
          <t>300450.SZ</t>
        </is>
      </c>
      <c r="C17" s="4" t="inlineStr">
        <is>
          <t>先导智能</t>
        </is>
      </c>
      <c r="D17" s="4" t="n">
        <v>1.3372</v>
      </c>
      <c r="E17" s="4" t="n">
        <v>-6.7475</v>
      </c>
      <c r="F17" s="4" t="n">
        <v>2.625</v>
      </c>
      <c r="G17" s="4" t="n">
        <v>-4.8043</v>
      </c>
      <c r="H17" s="4" t="n">
        <v>-2.4065</v>
      </c>
      <c r="I17" s="4" t="n">
        <v>-1.3886</v>
      </c>
      <c r="J17" s="4" t="n">
        <v>3.4232</v>
      </c>
      <c r="K17" s="4" t="n">
        <v>15.9624</v>
      </c>
      <c r="L17" s="4" t="n">
        <v>-2.5709</v>
      </c>
      <c r="M17" s="4" t="n">
        <v>-2.9088</v>
      </c>
      <c r="N17" s="4" t="n">
        <v>1.3268</v>
      </c>
      <c r="O17" s="4" t="n">
        <v>-0.0902</v>
      </c>
      <c r="P17" s="4" t="n">
        <v>0.0351</v>
      </c>
      <c r="Q17" s="4" t="n">
        <v>-0.06419999999999999</v>
      </c>
      <c r="R17" s="4" t="n">
        <v>-0.0322</v>
      </c>
      <c r="S17" s="4" t="n">
        <v>-0.0186</v>
      </c>
      <c r="T17" s="4" t="n">
        <v>0.0458</v>
      </c>
      <c r="U17" s="4" t="n">
        <v>0.2135</v>
      </c>
      <c r="V17" s="4" t="n">
        <v>-0.0344</v>
      </c>
      <c r="W17" s="4" t="n">
        <v>-0.0389</v>
      </c>
      <c r="X17" s="4" t="n">
        <v>0.0177</v>
      </c>
    </row>
    <row r="18">
      <c r="A18" s="4" t="inlineStr">
        <is>
          <t>未披露候选</t>
        </is>
      </c>
      <c r="B18" s="4" t="inlineStr">
        <is>
          <t>MRVL</t>
        </is>
      </c>
      <c r="C18" s="4" t="inlineStr">
        <is>
          <t>Marvell</t>
        </is>
      </c>
      <c r="D18" s="4" t="n">
        <v>4.3373</v>
      </c>
      <c r="E18" s="4" t="n">
        <v>9.503500000000001</v>
      </c>
      <c r="F18" s="4" t="n">
        <v>-7.5104</v>
      </c>
      <c r="G18" s="4" t="n">
        <v>-5.3545</v>
      </c>
      <c r="H18" s="4" t="n">
        <v>11.1819</v>
      </c>
      <c r="I18" s="4" t="n">
        <v>-0.3598</v>
      </c>
      <c r="J18" s="4" t="n">
        <v>10.1311</v>
      </c>
      <c r="K18" s="4" t="n">
        <v>-9.777799999999999</v>
      </c>
      <c r="L18" s="4" t="n">
        <v>3.9007</v>
      </c>
      <c r="M18" s="4" t="n">
        <v>7.4477</v>
      </c>
      <c r="N18" s="4" t="n">
        <v>-0.8758</v>
      </c>
      <c r="O18" s="4" t="n">
        <v>0.4122</v>
      </c>
      <c r="P18" s="4" t="n">
        <v>-0.3258</v>
      </c>
      <c r="Q18" s="4" t="n">
        <v>-0.2322</v>
      </c>
      <c r="R18" s="4" t="n">
        <v>0.485</v>
      </c>
      <c r="S18" s="4" t="n">
        <v>-0.0156</v>
      </c>
      <c r="T18" s="4" t="n">
        <v>0.4394</v>
      </c>
      <c r="U18" s="4" t="n">
        <v>-0.4241</v>
      </c>
      <c r="V18" s="4" t="n">
        <v>0.1692</v>
      </c>
      <c r="W18" s="4" t="n">
        <v>0.323</v>
      </c>
      <c r="X18" s="4" t="n">
        <v>-0.038</v>
      </c>
    </row>
    <row r="19">
      <c r="A19" s="4" t="inlineStr">
        <is>
          <t>未披露候选</t>
        </is>
      </c>
      <c r="B19" s="4" t="inlineStr">
        <is>
          <t>688052.SS</t>
        </is>
      </c>
      <c r="C19" s="4" t="inlineStr">
        <is>
          <t>纳芯微</t>
        </is>
      </c>
      <c r="D19" s="4" t="n">
        <v>8</v>
      </c>
      <c r="E19" s="4" t="n">
        <v>-4.6313</v>
      </c>
      <c r="F19" s="4" t="n">
        <v>7.8209</v>
      </c>
      <c r="G19" s="4" t="n">
        <v>-0.4645</v>
      </c>
      <c r="H19" s="4" t="n">
        <v>-1.1167</v>
      </c>
      <c r="I19" s="4" t="n">
        <v>-0.9016999999999999</v>
      </c>
      <c r="J19" s="4" t="n">
        <v>7.3603</v>
      </c>
      <c r="K19" s="4" t="n">
        <v>2.0951</v>
      </c>
      <c r="L19" s="4" t="n">
        <v>2.7232</v>
      </c>
      <c r="M19" s="4" t="n">
        <v>0.6798</v>
      </c>
      <c r="N19" s="4" t="n">
        <v>9.407299999999999</v>
      </c>
      <c r="O19" s="4" t="n">
        <v>-0.3705</v>
      </c>
      <c r="P19" s="4" t="n">
        <v>0.6257</v>
      </c>
      <c r="Q19" s="4" t="n">
        <v>-0.0372</v>
      </c>
      <c r="R19" s="4" t="n">
        <v>-0.0893</v>
      </c>
      <c r="S19" s="4" t="n">
        <v>-0.0721</v>
      </c>
      <c r="T19" s="4" t="n">
        <v>0.5888</v>
      </c>
      <c r="U19" s="4" t="n">
        <v>0.1676</v>
      </c>
      <c r="V19" s="4" t="n">
        <v>0.2179</v>
      </c>
      <c r="W19" s="4" t="n">
        <v>0.0544</v>
      </c>
      <c r="X19" s="4" t="n">
        <v>0.7526</v>
      </c>
    </row>
    <row r="20">
      <c r="A20" s="4" t="inlineStr">
        <is>
          <t>未披露候选</t>
        </is>
      </c>
      <c r="B20" s="4" t="inlineStr">
        <is>
          <t>002475.SZ</t>
        </is>
      </c>
      <c r="C20" s="4" t="inlineStr">
        <is>
          <t>立讯精密</t>
        </is>
      </c>
      <c r="D20" s="4" t="n">
        <v>8</v>
      </c>
      <c r="E20" s="4" t="n">
        <v>-3.8243</v>
      </c>
      <c r="F20" s="4" t="n">
        <v>4.8382</v>
      </c>
      <c r="G20" s="4" t="n">
        <v>-5.5235</v>
      </c>
      <c r="H20" s="4" t="n">
        <v>-1.4196</v>
      </c>
      <c r="I20" s="4" t="n">
        <v>-1.2697</v>
      </c>
      <c r="J20" s="4" t="n">
        <v>6.8852</v>
      </c>
      <c r="K20" s="4" t="n">
        <v>-1.3059</v>
      </c>
      <c r="L20" s="4" t="n">
        <v>0.0892</v>
      </c>
      <c r="M20" s="4" t="n">
        <v>3.877</v>
      </c>
      <c r="N20" s="4" t="n">
        <v>-2.1879</v>
      </c>
      <c r="O20" s="4" t="n">
        <v>-0.3059</v>
      </c>
      <c r="P20" s="4" t="n">
        <v>0.3871</v>
      </c>
      <c r="Q20" s="4" t="n">
        <v>-0.4419</v>
      </c>
      <c r="R20" s="4" t="n">
        <v>-0.1136</v>
      </c>
      <c r="S20" s="4" t="n">
        <v>-0.1016</v>
      </c>
      <c r="T20" s="4" t="n">
        <v>0.5508</v>
      </c>
      <c r="U20" s="4" t="n">
        <v>-0.1045</v>
      </c>
      <c r="V20" s="4" t="n">
        <v>0.0071</v>
      </c>
      <c r="W20" s="4" t="n">
        <v>0.3102</v>
      </c>
      <c r="X20" s="4" t="n">
        <v>-0.175</v>
      </c>
    </row>
    <row r="21">
      <c r="A21" s="4" t="inlineStr">
        <is>
          <t>未披露候选</t>
        </is>
      </c>
      <c r="B21" s="4" t="inlineStr">
        <is>
          <t>WDC</t>
        </is>
      </c>
      <c r="C21" s="4" t="inlineStr">
        <is>
          <t>Western Digital</t>
        </is>
      </c>
      <c r="D21" s="4" t="n">
        <v>6.9444</v>
      </c>
      <c r="E21" s="4" t="n">
        <v>2.8507</v>
      </c>
      <c r="F21" s="4" t="n">
        <v>-1.6462</v>
      </c>
      <c r="G21" s="4" t="n">
        <v>-5.3369</v>
      </c>
      <c r="H21" s="4" t="n">
        <v>8.0464</v>
      </c>
      <c r="I21" s="4" t="n">
        <v>6.3557</v>
      </c>
      <c r="J21" s="4" t="n">
        <v>15.7774</v>
      </c>
      <c r="K21" s="4" t="n">
        <v>4.2186</v>
      </c>
      <c r="L21" s="4" t="n">
        <v>4.5589</v>
      </c>
      <c r="M21" s="4" t="n">
        <v>4.9652</v>
      </c>
      <c r="N21" s="4" t="n">
        <v>-1.8238</v>
      </c>
      <c r="O21" s="4" t="n">
        <v>0.198</v>
      </c>
      <c r="P21" s="4" t="n">
        <v>-0.1143</v>
      </c>
      <c r="Q21" s="4" t="n">
        <v>-0.3706</v>
      </c>
      <c r="R21" s="4" t="n">
        <v>0.5588</v>
      </c>
      <c r="S21" s="4" t="n">
        <v>0.4414</v>
      </c>
      <c r="T21" s="4" t="n">
        <v>1.0956</v>
      </c>
      <c r="U21" s="4" t="n">
        <v>0.293</v>
      </c>
      <c r="V21" s="4" t="n">
        <v>0.3166</v>
      </c>
      <c r="W21" s="4" t="n">
        <v>0.3448</v>
      </c>
      <c r="X21" s="4" t="n">
        <v>-0.1267</v>
      </c>
    </row>
    <row r="22">
      <c r="A22" s="4" t="inlineStr">
        <is>
          <t>未披露候选</t>
        </is>
      </c>
      <c r="B22" s="4" t="inlineStr">
        <is>
          <t>000660.KS</t>
        </is>
      </c>
      <c r="C22" s="4" t="inlineStr">
        <is>
          <t>SK Hynix</t>
        </is>
      </c>
      <c r="D22" s="4" t="n">
        <v>8</v>
      </c>
      <c r="E22" s="4" t="n">
        <v>-7.514</v>
      </c>
      <c r="F22" s="4" t="n">
        <v>16.2221</v>
      </c>
      <c r="G22" s="4" t="n">
        <v>-7.4978</v>
      </c>
      <c r="H22" s="4" t="n">
        <v>3.1193</v>
      </c>
      <c r="I22" s="4" t="n">
        <v>2.3322</v>
      </c>
      <c r="J22" s="4" t="n">
        <v>6.4424</v>
      </c>
      <c r="K22" s="4" t="n">
        <v>4.2483</v>
      </c>
      <c r="L22" s="4" t="n">
        <v>4.8173</v>
      </c>
      <c r="M22" s="4" t="n">
        <v>5.9039</v>
      </c>
      <c r="N22" s="4" t="n">
        <v>9.0855</v>
      </c>
      <c r="O22" s="4" t="n">
        <v>-0.6011</v>
      </c>
      <c r="P22" s="4" t="n">
        <v>1.2978</v>
      </c>
      <c r="Q22" s="4" t="n">
        <v>-0.5998</v>
      </c>
      <c r="R22" s="4" t="n">
        <v>0.2495</v>
      </c>
      <c r="S22" s="4" t="n">
        <v>0.1866</v>
      </c>
      <c r="T22" s="4" t="n">
        <v>0.5154</v>
      </c>
      <c r="U22" s="4" t="n">
        <v>0.3399</v>
      </c>
      <c r="V22" s="4" t="n">
        <v>0.3854</v>
      </c>
      <c r="W22" s="4" t="n">
        <v>0.4723</v>
      </c>
      <c r="X22" s="4" t="n">
        <v>0.7268</v>
      </c>
    </row>
    <row r="23">
      <c r="A23" s="4" t="inlineStr">
        <is>
          <t>未披露候选</t>
        </is>
      </c>
      <c r="B23" s="4" t="inlineStr">
        <is>
          <t>CRDO</t>
        </is>
      </c>
      <c r="C23" s="4" t="inlineStr">
        <is>
          <t>Credo Technology</t>
        </is>
      </c>
      <c r="D23" s="4" t="n">
        <v>2.3674</v>
      </c>
      <c r="E23" s="4" t="n">
        <v>7.307</v>
      </c>
      <c r="F23" s="4" t="n">
        <v>5.5304</v>
      </c>
      <c r="G23" s="4" t="n">
        <v>1.4339</v>
      </c>
      <c r="H23" s="4" t="n">
        <v>11.4428</v>
      </c>
      <c r="I23" s="4" t="n">
        <v>-5.2689</v>
      </c>
      <c r="J23" s="4" t="n">
        <v>3.1465</v>
      </c>
      <c r="K23" s="4" t="n">
        <v>-7.7957</v>
      </c>
      <c r="L23" s="4" t="n">
        <v>4.2437</v>
      </c>
      <c r="M23" s="4" t="n">
        <v>9.2081</v>
      </c>
      <c r="N23" s="4" t="n">
        <v>11.2901</v>
      </c>
      <c r="O23" s="4" t="n">
        <v>0.173</v>
      </c>
      <c r="P23" s="4" t="n">
        <v>0.1309</v>
      </c>
      <c r="Q23" s="4" t="n">
        <v>0.0339</v>
      </c>
      <c r="R23" s="4" t="n">
        <v>0.2709</v>
      </c>
      <c r="S23" s="4" t="n">
        <v>-0.1247</v>
      </c>
      <c r="T23" s="4" t="n">
        <v>0.0745</v>
      </c>
      <c r="U23" s="4" t="n">
        <v>-0.1846</v>
      </c>
      <c r="V23" s="4" t="n">
        <v>0.1005</v>
      </c>
      <c r="W23" s="4" t="n">
        <v>0.218</v>
      </c>
      <c r="X23" s="4" t="n">
        <v>0.2673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8" t="inlineStr">
        <is>
          <t>项目</t>
        </is>
      </c>
      <c r="B1" s="8" t="inlineStr">
        <is>
          <t>说明</t>
        </is>
      </c>
    </row>
    <row r="2">
      <c r="A2" s="11" t="inlineStr">
        <is>
          <t>本版修正</t>
        </is>
      </c>
      <c r="B2" s="11" t="inlineStr">
        <is>
          <t>上一版“完整模拟持仓_10日误差0.2以内”把Q1披露前十大和两只2x ETF权重也放开了，不符合约束；本版废弃该逻辑。</t>
        </is>
      </c>
    </row>
    <row r="3">
      <c r="A3" s="11" t="inlineStr">
        <is>
          <t>固定锚点</t>
        </is>
      </c>
      <c r="B3" s="11" t="inlineStr">
        <is>
          <t>NVDA、TSM、LITE、TER、KLAC、TSLA、AVGO、COHR、AMD、LRCX、7709.HK、7747.HK以及国债2508权重固定。</t>
        </is>
      </c>
    </row>
    <row r="4">
      <c r="A4" s="11" t="inlineStr">
        <is>
          <t>数据窗口</t>
        </is>
      </c>
      <c r="B4" s="11" t="inlineStr">
        <is>
          <t>使用天天基金164212在2026-06-08至2026-06-22的10个已披露净值涨跌幅。</t>
        </is>
      </c>
    </row>
    <row r="5">
      <c r="A5" s="11" t="inlineStr">
        <is>
          <t>价格口径</t>
        </is>
      </c>
      <c r="B5" s="11" t="inlineStr">
        <is>
          <t>证券价格来自Yahoo历史日收盘；USD/HKD/KRW资产折算为人民币；休市日使用当日或之前最近交易日收盘。</t>
        </is>
      </c>
    </row>
    <row r="6">
      <c r="A6" s="11" t="inlineStr">
        <is>
          <t>主模型</t>
        </is>
      </c>
      <c r="B6" s="11" t="inlineStr">
        <is>
          <t>Q2行为基准：固定披露锚点，未披露候选单项上限8%，未披露合计52.67%，现金及其他5.75%。</t>
        </is>
      </c>
    </row>
    <row r="7">
      <c r="A7" s="11" t="inlineStr">
        <is>
          <t>关键结论</t>
        </is>
      </c>
      <c r="B7" s="11" t="inlineStr">
        <is>
          <t>在披露锚点固定且总仓位合理的情况下，10日误差无法压到0.2pp以内；主模型最大误差约0.59pp。</t>
        </is>
      </c>
    </row>
    <row r="8">
      <c r="A8" s="11" t="inlineStr">
        <is>
          <t>诊断</t>
        </is>
      </c>
      <c r="B8" s="11" t="inlineStr">
        <is>
          <t>若要接近0.2pp，模型需要未披露合计约75%，叠加固定锚点后总风险资产约116.58%，现金为负，因此不可作为真实持仓。</t>
        </is>
      </c>
    </row>
    <row r="9">
      <c r="A9" s="11" t="inlineStr">
        <is>
          <t>解释边界</t>
        </is>
      </c>
      <c r="B9" s="11" t="inlineStr">
        <is>
          <t>未披露候选是行为拟合，不是基金官方披露；只能用于后续跟踪和净值估算。</t>
        </is>
      </c>
    </row>
    <row r="10">
      <c r="A10" s="11" t="inlineStr">
        <is>
          <t>2x产品代码</t>
        </is>
      </c>
      <c r="B10" s="11" t="inlineStr">
        <is>
          <t>SK Hynix 2x 使用7709.HK；Samsung 2x主模型使用7747.HK，另有USD柜台9747.HK，短窗收益差异不改变结论。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2026-06-23T14:15:21Z</dcterms:created>
  <dcterms:modified xsi:type="dcterms:W3CDTF">2026-06-23T14:15:21Z</dcterms:modified>
</cp:coreProperties>
</file>