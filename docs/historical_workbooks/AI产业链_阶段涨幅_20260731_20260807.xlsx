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heet1" sheetId="1" state="visible" r:id="rId3"/>
    <sheet name="Data" sheetId="2" state="hidden" r:id="rId4"/>
  </sheets>
  <definedNames>
    <definedName function="false" hidden="true" localSheetId="0" name="_xlnm._FilterDatabase" vbProcedure="false">Sheet1!$A$1:$J$376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Codex</author>
  </authors>
  <commentList>
    <comment ref="D1" authorId="0">
      <text>
        <r>
          <rPr>
            <sz val="10"/>
            <rFont val="Noto Sans SC"/>
            <family val="2"/>
            <charset val="134"/>
          </rPr>
          <t xml:space="preserve">计算口径：腾讯财经 </t>
        </r>
        <r>
          <rPr>
            <sz val="10"/>
            <rFont val="Arial"/>
            <family val="2"/>
            <charset val="134"/>
          </rPr>
          <t xml:space="preserve">qfq </t>
        </r>
        <r>
          <rPr>
            <sz val="10"/>
            <rFont val="Noto Sans SC"/>
            <family val="2"/>
            <charset val="134"/>
          </rPr>
          <t xml:space="preserve">前复权日线；最高日内价取 </t>
        </r>
        <r>
          <rPr>
            <sz val="10"/>
            <rFont val="Arial"/>
            <family val="2"/>
            <charset val="134"/>
          </rPr>
          <t xml:space="preserve">2026-06-01 </t>
        </r>
        <r>
          <rPr>
            <sz val="10"/>
            <rFont val="Noto Sans SC"/>
            <family val="2"/>
            <charset val="134"/>
          </rPr>
          <t xml:space="preserve">至 </t>
        </r>
        <r>
          <rPr>
            <sz val="10"/>
            <rFont val="Arial"/>
            <family val="2"/>
            <charset val="134"/>
          </rPr>
          <t xml:space="preserve">2026-07-31</t>
        </r>
        <r>
          <rPr>
            <sz val="10"/>
            <rFont val="Noto Sans SC"/>
            <family val="2"/>
            <charset val="134"/>
          </rPr>
          <t xml:space="preserve">，最低日内价取 </t>
        </r>
        <r>
          <rPr>
            <sz val="10"/>
            <rFont val="Arial"/>
            <family val="2"/>
            <charset val="134"/>
          </rPr>
          <t xml:space="preserve">2026-07-01 </t>
        </r>
        <r>
          <rPr>
            <sz val="10"/>
            <rFont val="Noto Sans SC"/>
            <family val="2"/>
            <charset val="134"/>
          </rPr>
          <t xml:space="preserve">至 </t>
        </r>
        <r>
          <rPr>
            <sz val="10"/>
            <rFont val="Arial"/>
            <family val="2"/>
            <charset val="134"/>
          </rPr>
          <t xml:space="preserve">2026-07-31</t>
        </r>
        <r>
          <rPr>
            <sz val="10"/>
            <rFont val="Noto Sans SC"/>
            <family val="2"/>
            <charset val="134"/>
          </rPr>
          <t xml:space="preserve">；跌幅</t>
        </r>
        <r>
          <rPr>
            <sz val="10"/>
            <rFont val="Arial"/>
            <family val="2"/>
            <charset val="134"/>
          </rPr>
          <t xml:space="preserve">=(</t>
        </r>
        <r>
          <rPr>
            <sz val="10"/>
            <rFont val="Noto Sans SC"/>
            <family val="2"/>
            <charset val="134"/>
          </rPr>
          <t xml:space="preserve">最高点</t>
        </r>
        <r>
          <rPr>
            <sz val="10"/>
            <rFont val="Arial"/>
            <family val="2"/>
            <charset val="134"/>
          </rPr>
          <t xml:space="preserve">-</t>
        </r>
        <r>
          <rPr>
            <sz val="10"/>
            <rFont val="Noto Sans SC"/>
            <family val="2"/>
            <charset val="134"/>
          </rPr>
          <t xml:space="preserve">最低点</t>
        </r>
        <r>
          <rPr>
            <sz val="10"/>
            <rFont val="Arial"/>
            <family val="2"/>
            <charset val="134"/>
          </rPr>
          <t xml:space="preserve">)/</t>
        </r>
        <r>
          <rPr>
            <sz val="10"/>
            <rFont val="Noto Sans SC"/>
            <family val="2"/>
            <charset val="134"/>
          </rPr>
          <t xml:space="preserve">最高点。同价取最早交易日。前复权日线缺失时留空。来源：</t>
        </r>
        <r>
          <rPr>
            <sz val="10"/>
            <rFont val="Arial"/>
            <family val="2"/>
            <charset val="134"/>
          </rPr>
          <t xml:space="preserve">https://web.ifzq.gtimg.cn/appstock/app/fqkline/get</t>
        </r>
        <r>
          <rPr>
            <sz val="10"/>
            <rFont val="Noto Sans SC"/>
            <family val="2"/>
            <charset val="134"/>
          </rPr>
          <t xml:space="preserve">；读取日期 </t>
        </r>
        <r>
          <rPr>
            <sz val="10"/>
            <rFont val="Arial"/>
            <family val="2"/>
            <charset val="134"/>
          </rPr>
          <t xml:space="preserve">2026-08-09</t>
        </r>
        <r>
          <rPr>
            <sz val="10"/>
            <rFont val="Noto Sans SC"/>
            <family val="2"/>
            <charset val="134"/>
          </rPr>
          <t xml:space="preser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62</xdr:colOff>
                <xdr:row>4</xdr:row>
                <xdr:rowOff>9</xdr:rowOff>
              </xdr:to>
            </anchor>
          </commentPr>
        </mc:Choice>
        <mc:Fallback/>
      </mc:AlternateContent>
    </comment>
  </commentList>
</comments>
</file>

<file path=xl/sharedStrings.xml><?xml version="1.0" encoding="utf-8"?>
<sst xmlns="http://schemas.openxmlformats.org/spreadsheetml/2006/main" count="4157" uniqueCount="1435">
  <si>
    <t xml:space="preserve">细分板块</t>
  </si>
  <si>
    <t xml:space="preserve">代码</t>
  </si>
  <si>
    <t xml:space="preserve">公司名称</t>
  </si>
  <si>
    <t xml:space="preserve">06/07前复权最高点至07月最低点跌幅(%)</t>
  </si>
  <si>
    <t xml:space="preserve">上周收盘价(2026-07-31)</t>
  </si>
  <si>
    <t xml:space="preserve">今日收盘价(2026-08-07)</t>
  </si>
  <si>
    <t xml:space="preserve">涨跌额(元)</t>
  </si>
  <si>
    <t xml:space="preserve">阶段涨幅(%)</t>
  </si>
  <si>
    <t xml:space="preserve">数据状态</t>
  </si>
  <si>
    <t xml:space="preserve">备注</t>
  </si>
  <si>
    <t xml:space="preserve">InP衬底</t>
  </si>
  <si>
    <t xml:space="preserve">002428</t>
  </si>
  <si>
    <t xml:space="preserve">云南锗业</t>
  </si>
  <si>
    <t xml:space="preserve">正常</t>
  </si>
  <si>
    <t xml:space="preserve">云南鑫耀磷化铟衬底已批量供货，2025年产能15万片/年、2026年规划18万片并启动扩产；AI光模块上游映射直接，风险是客户/订单金额、良率、6英寸量产和利润贡献仍披露不足。证据A/B。</t>
  </si>
  <si>
    <t xml:space="preserve">高纯湿电子化学品</t>
  </si>
  <si>
    <t xml:space="preserve">688549</t>
  </si>
  <si>
    <t xml:space="preserve">中巨芯-U</t>
  </si>
  <si>
    <t xml:space="preserve">证据中：2025年报显示公司同时覆盖电子湿化学品、电子特种气体和前驱体材料，其中电子湿化学品收入占比约72.5%，电子特气及前驱体占比约23.9%；公司仍亏损，故由ALD-CVD前驱体修正为电子湿化学品。</t>
  </si>
  <si>
    <t xml:space="preserve">AI服务器高速PCB</t>
  </si>
  <si>
    <t xml:space="preserve">300476</t>
  </si>
  <si>
    <t xml:space="preserve">胜宏科技</t>
  </si>
  <si>
    <t xml:space="preserve">高多层PCB、HDI和AI服务器/交换机PCB是最直接主线，年报披露AI服务器相关HDI及18层以上多层板高景气，并强调深度绑定国际头部客户；主板块保留AI服务器高速PCB，风险是大客户集中、扩产良率和海外交付节奏。证据A/B。2026-06-16 JPM补充：报告从AI switch、midplane/HDI和高层PCB良率角度强化AI PCB价值量与制造难度，支持胜宏高层高速板需求侧；风险仍是扩产良率、客户集中和毛利年降。</t>
  </si>
  <si>
    <t xml:space="preserve">光芯片</t>
  </si>
  <si>
    <t xml:space="preserve">688313</t>
  </si>
  <si>
    <t xml:space="preserve">仕佳光子</t>
  </si>
  <si>
    <t xml:space="preserve">具备AWG/PLC无源芯片、DFB/CW DFB与EML研发能力，CW DFB已小批量交付、EML仍在验证；主板块保留光芯片，但偏无源+有源平台，业绩弹性取决于1.6T/CPO客户导入。证据B。</t>
  </si>
  <si>
    <t xml:space="preserve">载体铜箔</t>
  </si>
  <si>
    <t xml:space="preserve">688020</t>
  </si>
  <si>
    <t xml:space="preserve">方邦股份</t>
  </si>
  <si>
    <t xml:space="preserve">可剥离超薄载体铜箔面向IC载板/先进封装，部分规格通过载板厂和终端客户认证并持续小批量订单；主板块由高端铜箔改为载体铜箔，EMI屏蔽降级为非AI主线，不再单列，风险是规模收入和盈利兑现仍小。证据B。</t>
  </si>
  <si>
    <t xml:space="preserve">高端封装填料</t>
  </si>
  <si>
    <t xml:space="preserve">688300</t>
  </si>
  <si>
    <t xml:space="preserve">联瑞新材</t>
  </si>
  <si>
    <t xml:space="preserve">功能性粉体材料龙头，年报披露聚焦AI/5G/HPC高端芯片封装、Chiplet/HBM异构集成和M8/M9/M10高速覆铜板，Low-alpha球硅/球铝及低损耗球硅是先进封装和高速基板关键填料。主板块保留高端封装填料，封装基板材料并入备注，风险是客户认证、价格竞争和高端新品占比。证据A。</t>
  </si>
  <si>
    <t xml:space="preserve">TFLN</t>
  </si>
  <si>
    <t xml:space="preserve">300620</t>
  </si>
  <si>
    <t xml:space="preserve">光库科技</t>
  </si>
  <si>
    <t xml:space="preserve">光通信器件是当前业绩主线：2026H1归母预告1.40–1.50亿元、同比+170%–190%（未经审计；Q1增长含武汉光库并表）。TFLN为高端调制器路线：骨干网CDM芯片已批量出货、模块小批量；DCI及数据中心/AI集群PAM4仍验证送样且进度延后，不能按800G/1.6T量产收入计。安捷讯拟收购补高速模块组件及机房光互联，MT/FAU/MPO类存在产品重叠；截至2026-07-31深交所项目状态为“已问询”，交割后方能并表，若2026H2交割，完整年度贡献最早看2027。主板块保留TFLN，风险是验证转量产、项目效益/利用率、审批交割及数通产品降价。证据A（截至2026-07-31）。</t>
  </si>
  <si>
    <t xml:space="preserve">高端高速铜箔</t>
  </si>
  <si>
    <t xml:space="preserve">301217</t>
  </si>
  <si>
    <t xml:space="preserve">铜冠铜箔</t>
  </si>
  <si>
    <t xml:space="preserve">2026H1业绩预告：预计归母净利润2.05—2.25亿元（同比+486.49%—543.70%），扣非净利润2.00—2.20亿元（同比+724.05%—806.45%）；公司明确称聚焦头部客户需求，高频高速铜箔供不应求、销量同比增长，高附加值产品占比与加工费收入提升，降本带动毛利率改善，支持AI PCB材料景气已通过销量、结构和加工费进入利润表。仍未拆分HVLP代际、AI客户/收入占比及单吨加工费，且高频高速铜箔不等同全部AI收入；继续跟踪半年报分产品毛利和经营现金流。证据A。</t>
  </si>
  <si>
    <t xml:space="preserve">PCB湿化学</t>
  </si>
  <si>
    <t xml:space="preserve">688603</t>
  </si>
  <si>
    <t xml:space="preserve">天承科技</t>
  </si>
  <si>
    <t xml:space="preserve">PCB专用电子化学品公司，产品覆盖沉铜、电镀、表面处理和棕化等湿制程，高层高密AI PCB、mSAP和封装基板升级提高药水纯度和工艺门槛；主板块保留PCB湿化学，风险是客户扩产周期、原料价格和海外市场验证。证据A。</t>
  </si>
  <si>
    <t xml:space="preserve">薄膜滤波片</t>
  </si>
  <si>
    <t xml:space="preserve">688195</t>
  </si>
  <si>
    <t xml:space="preserve">腾景科技</t>
  </si>
  <si>
    <t xml:space="preserve">精密光学和光纤器件平台，2025半年报披露数据中心CWDM滤光片可规模化低成本供应，并具备WSS关键球柱面镜、微透镜等能力；主板块改为薄膜滤波片，法拉第旋光片、OCS光交换和微透镜并入备注降级为相邻精密光学能力，风险是AI数据中心客户订单和收入占比披露不足。证据B。</t>
  </si>
  <si>
    <t xml:space="preserve">高端高速CCL</t>
  </si>
  <si>
    <t xml:space="preserve">688519</t>
  </si>
  <si>
    <t xml:space="preserve">南亚新材</t>
  </si>
  <si>
    <t xml:space="preserve">高频高速覆铜板主线，AI服务器/光模块用高速板材料明确，M8/M9/M10升级看客户认证、订单能见度和涨价传导；封装基板材料并入备注，不再单列主板块。证据B。2026-06-16 JPM补充：报告提示HPC CCL/PCB TAM由AI server、常规server、LEO共同推升，CCL TAM可按2.5-3倍近似外推PCB TAM，M9升级和载板用Q glass是新增验证方向；仍按B级卖方估算处理，需看分产品lead time、涨价、客户认证和收入毛利。</t>
  </si>
  <si>
    <t xml:space="preserve">600330</t>
  </si>
  <si>
    <t xml:space="preserve">天通股份</t>
  </si>
  <si>
    <t xml:space="preserve">铌酸锂晶体、晶片和材料端平台，薄膜铌酸锂/TFLN属于高速调制器上游材料观察；公司更接近TFLN材料端而非器件或光模块，业绩弹性取决于薄膜铌酸锂晶片量产客户和收入占比。主板块保留TFLN，风险是材料验证周期、需求放量节奏和传统磁材/蓝宝石周期。证据B/C。</t>
  </si>
  <si>
    <t xml:space="preserve">TGV玻璃基板</t>
  </si>
  <si>
    <t xml:space="preserve">603773</t>
  </si>
  <si>
    <t xml:space="preserve">沃格光电</t>
  </si>
  <si>
    <t xml:space="preserve">证据中：2025年报披露通格微推进全玻璃基多层互联/GCP、TGV玻璃基板，并与北极雄芯围绕异构芯粒与玻璃基板AI计算芯片合作；但公司仍亏损，相关业务多处于验证或送样阶段，需跟踪规模化兑现。</t>
  </si>
  <si>
    <t xml:space="preserve">301511</t>
  </si>
  <si>
    <t xml:space="preserve">德福科技</t>
  </si>
  <si>
    <t xml:space="preserve">PCB级RTF/HVLP进展最直接，年报披露RTF-3/4认证并批量供货、HVLP1-3批量供货、HVLP4小规模放量、HVLP5完成样品认证并推进导入；主板块由高端铜箔细化为HVLP铜箔，风险是HVLP5多客户、收入和毛利率仍需量化。证据A/B。 2026-06-17 HVLP4/T-glass复核：放“交易弹性/条件式HVLP期权”；HVLP4/5从纯watch提高到watch_to_soft验证优先级，但需多客户批量、加工费、电子电路铜箔收入占比和毛利证据，不能混同锂电铜箔修复；官方追杀后，NVIDIA锁产/寄售/LTA/prepayment仍未闭环。</t>
  </si>
  <si>
    <t xml:space="preserve">TEC</t>
  </si>
  <si>
    <t xml:space="preserve">688662</t>
  </si>
  <si>
    <t xml:space="preserve">富信科技</t>
  </si>
  <si>
    <t xml:space="preserve">半导体热电器件公司，Micro TEC已在通信领域头部企业实现批量稳定供货，适合映射高速光模块温控小件；主板块保留TEC，风险是单品价值量、通信客户放量、消费/工业温控业务波动和盈利修复。证据B。</t>
  </si>
  <si>
    <t xml:space="preserve">半导体高纯金属靶材</t>
  </si>
  <si>
    <t xml:space="preserve">600206</t>
  </si>
  <si>
    <t xml:space="preserve">有研新材</t>
  </si>
  <si>
    <t xml:space="preserve">证据中强：2025年报披露公司聚焦电子薄膜及贵金属材料等新材料，集成电路及半导体薄膜材料国产化需求持续；高纯金属靶材是更确定主线，HBM TSV金属材料属于先进存储/封装延伸，当前公开证据不足以作为主板块。</t>
  </si>
  <si>
    <t xml:space="preserve">PCB钻针</t>
  </si>
  <si>
    <t xml:space="preserve">000657</t>
  </si>
  <si>
    <t xml:space="preserve">中钨高新</t>
  </si>
  <si>
    <t xml:space="preserve">硬质合金和钨材料平台，通过金洲公司切入PCB精密微型钻头及刀具；公告披露新增AI PCB用超长径精密微型刀具产能，并继续扩产印制电路板用高端微型精密刀具，匹配AI专用PCB层数多、厚度大、材料硬度高导致的钻孔刀具升级需求。主板块改为PCB钻针，PCB微型精密刀具/高端微钻/AI PCB超长径刀具并入备注，风险是金洲业务占比、扩产达产和钨价周期。证据A/B。</t>
  </si>
  <si>
    <t xml:space="preserve">FAU</t>
  </si>
  <si>
    <t xml:space="preserve">300394</t>
  </si>
  <si>
    <t xml:space="preserve">天孚通信</t>
  </si>
  <si>
    <t xml:space="preserve">光器件平台覆盖高速光引擎、FAU无源器件、微光学、AOC/PSM/DR、WDM/AWG和光纤连接器，相关方案应用于数据中心；主板块保留FAU/光纤阵列这一硅光和CPO耦合核心小件，硅光PIC、光中介层、OSA光次模块和OCS光交换并入备注，风险是海外云资本开支、客户集中、价格竞争和毛利率。证据A/B。</t>
  </si>
  <si>
    <t xml:space="preserve">封测切割减薄设备</t>
  </si>
  <si>
    <t xml:space="preserve">300480</t>
  </si>
  <si>
    <t xml:space="preserve">光力科技</t>
  </si>
  <si>
    <t xml:space="preserve">证据中强：2025年报披露公司半导体封测装备覆盖晶圆切割、封装体切割、晶圆减薄等环节，部分划切设备已在先进封装中批量应用；晶圆减薄和先进封装切割属于同一封测装备链，合并删减重复行。</t>
  </si>
  <si>
    <t xml:space="preserve">高速电子树脂</t>
  </si>
  <si>
    <t xml:space="preserve">601208</t>
  </si>
  <si>
    <t xml:space="preserve">东材科技</t>
  </si>
  <si>
    <t xml:space="preserve">高性能电子树脂供应商定位明确，年报摘要披露联合开发适配高频、高速、高耐热、高导热覆铜板材料，并拓展新一代服务器等领域；主板块保留高速电子树脂，风险是高端品收入占比、客户认证和材料价格波动。证据B。</t>
  </si>
  <si>
    <t xml:space="preserve">半导体测试探针</t>
  </si>
  <si>
    <t xml:space="preserve">688661</t>
  </si>
  <si>
    <t xml:space="preserve">和林微纳</t>
  </si>
  <si>
    <t xml:space="preserve">证据中强：2025年报/公开资料显示半导体测试探针业务成为增长引擎，收入同比高增并带动扭亏；公开证据更直接指向测试探针平台，HBM专用探针客户和收入未充分披露，故将“HBM测试探针”降级为半导体测试探针。</t>
  </si>
  <si>
    <t xml:space="preserve">AI服务器电源管理芯片</t>
  </si>
  <si>
    <t xml:space="preserve">688508</t>
  </si>
  <si>
    <t xml:space="preserve">芯朋微</t>
  </si>
  <si>
    <t xml:space="preserve">证据强：2026提质增效方案披露2025年推出12款AI计算能源核心新品，覆盖800V HVDC、SiC/GaN驱动、8/12/16相VRM、DrMOS、eFuse、PoL等，完成服务器一二三次电源全链路布局。</t>
  </si>
  <si>
    <t xml:space="preserve">002975</t>
  </si>
  <si>
    <t xml:space="preserve">博杰股份</t>
  </si>
  <si>
    <t xml:space="preserve">按最新口径改为InP衬底：公司通过参股珠海鼎泰芯源晶体有限公司，参与以磷化铟（InP）为主的III-V族化合物半导体单晶及衬底材料国产化；公司直接持有鼎泰芯源10.281%股权，公司及管理层合计持股24.6862%。下游高速光通信、AI算力数据中心带动InP衬底需求增长，鼎泰芯源正积极扩产，子公司博捷芯划片机也具备InP衬底切割技术能力。风险：博杰为参股而非控股并表衬底厂，业绩弹性取决于鼎泰芯源扩产达产、客户供应链验证和股权收益兑现。证据中强。</t>
  </si>
  <si>
    <t xml:space="preserve">半导体高纯工艺系统</t>
  </si>
  <si>
    <t xml:space="preserve">688596</t>
  </si>
  <si>
    <t xml:space="preserve">正帆科技</t>
  </si>
  <si>
    <t xml:space="preserve">证据中强：2025年报披露公司稳固“制程关键系统、核心工艺材料与零组件、专业服务”三位一体定位，制程关键系统覆盖多数国内一线晶圆厂，GasBox等设备零部件获头部设备厂商采用；合并删减“半导体核心零部件”重复行。</t>
  </si>
  <si>
    <t xml:space="preserve">AI辅助药物设计</t>
  </si>
  <si>
    <t xml:space="preserve">301230</t>
  </si>
  <si>
    <t xml:space="preserve">泓博医药</t>
  </si>
  <si>
    <t xml:space="preserve">证据中强：2025年报披露公司以药物设计为核心驱动，在先导化合物发现阶段使用计算机/人工智能辅助药物设计，并覆盖靶点识别、虚拟筛选、结构预测、分子对接、分子动力学和ADME预测；AI是CRO/CDMO服务能力，不单列泛AI制药。</t>
  </si>
  <si>
    <t xml:space="preserve">600183</t>
  </si>
  <si>
    <t xml:space="preserve">生益科技</t>
  </si>
  <si>
    <t xml:space="preserve">大陆CCL龙头，高速覆铜板、封装材料和客户覆盖最完整，是AI服务器高速PCB与M9/M10材料升级的稳健映射；主板块保留高端高速CCL，封装基板材料放备注，风险是周期、价格传导和高端占比。证据A/B。2026-06-16 JPM补充：报告强化M8/M9高端CCL、HPC CCL与载板用CCL/Q glass需求，支持高端高速CCL soft_bottleneck+；但不能替代公司分产品订单、涨价和客户锁料证据。 2026-06-17 HVLP4/T-glass复核：放“基本面主受益/质量锚”；高速CCL/prepreg是板级PCB材料主线最稳映射，但NVIDIA M9独家/直供/锁产等说法在官方追杀后仍未闭环，仍需公司、客户或正式供应链文件确认。</t>
  </si>
  <si>
    <t xml:space="preserve">603186</t>
  </si>
  <si>
    <t xml:space="preserve">华正新材</t>
  </si>
  <si>
    <t xml:space="preserve">高频高速覆铜板和复合材料布局明确，服务器、交换机、光模块材料需求带来弹性；主板块保留高端高速CCL，封装基板材料降级并入备注，风险是客户和收入拆分弱于龙头。证据B。</t>
  </si>
  <si>
    <t xml:space="preserve">PCB设备</t>
  </si>
  <si>
    <t xml:space="preserve">688630</t>
  </si>
  <si>
    <t xml:space="preserve">芯碁微装</t>
  </si>
  <si>
    <t xml:space="preserve">直写光刻平台公司，2025年报披露在PCB领域主要应用于线路层和阻焊层曝光，2024年已成为全球最大PCB直接成像设备制造商，并布局激光钻孔设备；AI高多层/HDI和封装基板升级提升LDI门槛。主板块由PCB设备细化为PCB直接成像设备，风险是产能交付、海外竞争和泛半导体新业务兑现。证据A。</t>
  </si>
  <si>
    <t xml:space="preserve">低介电电子布</t>
  </si>
  <si>
    <t xml:space="preserve">002080</t>
  </si>
  <si>
    <t xml:space="preserve">中材科技</t>
  </si>
  <si>
    <t xml:space="preserve">泰山玻纤掌握低介电超细纱及纤维布、低膨胀纤维布、超低损耗低介电纤维布等技术，特种纤维布已获头部客户认证并批量供货；集团业务较宽，AI PCB弹性弱于纯电子布标的。证据A。</t>
  </si>
  <si>
    <t xml:space="preserve">603228</t>
  </si>
  <si>
    <t xml:space="preserve">景旺电子</t>
  </si>
  <si>
    <t xml:space="preserve">证据强：2025年报披露AI服务器PCB经过多年蓄势后规模出货，高阶HDI、Birchstream平台高速PCB、PTFE刚挠结合板、高速FPC、1.6T光模块PCB等实现量产或突破；主板块由AI服务器FPC修正为覆盖业绩弹性的AI服务器PCB。</t>
  </si>
  <si>
    <t xml:space="preserve">光模块液冷</t>
  </si>
  <si>
    <t xml:space="preserve">688668</t>
  </si>
  <si>
    <t xml:space="preserve">鼎通科技</t>
  </si>
  <si>
    <t xml:space="preserve">按复核结论由224G高速背板连接器调整为光模块液冷：公司通信连接器仍是收入基本盘，但液冷CAGE是在现有CAGE基础上集成液冷板形成的光模块液冷散热模组，已取得核心客户认证并进入小批量交付；光模块散热/热沉/液冷CAGE是AI数据中心散热升级方向。风险是液冷CAGE仍处验证放量初期、客户集中和高速连接器周期波动。证据中强。</t>
  </si>
  <si>
    <t xml:space="preserve">企业级SSD主控</t>
  </si>
  <si>
    <t xml:space="preserve">300672</t>
  </si>
  <si>
    <t xml:space="preserve">国科微</t>
  </si>
  <si>
    <t xml:space="preserve">证据中偏弱：公司固态存储主控芯片实现国产替代，同时布局端侧AI、车载电子、智慧视觉等多条芯片线；AI数据中心企业级SSD客户、收入占比和订单仍未充分披露，保留为SSD主控国产替代观察，基本面需关注2025亏损后毛利修复和研发投入转化。</t>
  </si>
  <si>
    <t xml:space="preserve">300260</t>
  </si>
  <si>
    <t xml:space="preserve">新莱应材</t>
  </si>
  <si>
    <t xml:space="preserve">证据中强：2025年报披露泛半导体/高纯及超高纯应用材料收入增长，真空和UHP等级管道、管件、阀门、腔体、精密零部件用于半导体制程及厂务；液冷管路属于新布局且规模仍小，合并删减“液冷管路”重复行。</t>
  </si>
  <si>
    <t xml:space="preserve">AI分子砌块设计</t>
  </si>
  <si>
    <t xml:space="preserve">300725</t>
  </si>
  <si>
    <t xml:space="preserve">药石科技</t>
  </si>
  <si>
    <t xml:space="preserve">证据中强：2025年投资者交流披露公司在前端分子砌块研发中应用AI生成8,000多万个新颖分子砌块，筛选后产品已陆续上线；核心仍是分子砌块+CDMO，主板块由AI分子砌块筛选细化为AI分子砌块设计。</t>
  </si>
  <si>
    <t xml:space="preserve">301377</t>
  </si>
  <si>
    <t xml:space="preserve">鼎泰高科</t>
  </si>
  <si>
    <t xml:space="preserve">PCB钻针和精密刀具龙头，2025年报披露受PCB基材硬化、板厚增加和布线密集化推动，微小径钻针、高长径比钻针和高端涂层钻针占比提升，0.20mm及以下微钻销量占比29.65%、涂层钻针39.40%。主板块保留PCB钻针，高多层PCB加工耗材并入备注，风险是估值拥挤、扩产消化和价格竞争。证据A。</t>
  </si>
  <si>
    <t xml:space="preserve">301123</t>
  </si>
  <si>
    <t xml:space="preserve">奕东电子</t>
  </si>
  <si>
    <t xml:space="preserve">按复核结论由光模块液冷组件统一为光模块液冷：公司具备光模块CAGE、连接器/结构件和热管理平台能力，OSFP 112G、OSFP-XD 224G、OverPass 224G等光模块CAGE产品已批量交货，液冷散热结构件已批量出货；适配液冷方案的CAGE已有出货，并推进CAGE+液冷一体化方案。风险是液冷CAGE/一体化方案仍处放量初期、客户认证节奏和传统消费电子业务波动。证据中强。</t>
  </si>
  <si>
    <t xml:space="preserve">600110</t>
  </si>
  <si>
    <t xml:space="preserve">诺德股份</t>
  </si>
  <si>
    <t xml:space="preserve">铜箔主业平台，布局HVLP、IC载板铜箔和高端电子标箔，但高附加值产品仍处市场导入期且公司2025年仍亏损；保留高端铜箔观察，不上调为HVLP主线，风险是盈利、现金流和客户验证不足。证据B。</t>
  </si>
  <si>
    <t xml:space="preserve">AI数据基础设施软件</t>
  </si>
  <si>
    <t xml:space="preserve">688031</t>
  </si>
  <si>
    <t xml:space="preserve">星环科技</t>
  </si>
  <si>
    <t xml:space="preserve">证据中强：2025年报显示公司定位企业级AI和大数据基础设施软件，覆盖大数据平台、分布式数据库、数据开发工具和AI平台，并参与向量数据库标准；AI加速卡池化更像数据库/GPU加速能力，合并降级到备注。</t>
  </si>
  <si>
    <t xml:space="preserve">PCB光刻胶</t>
  </si>
  <si>
    <t xml:space="preserve">300576</t>
  </si>
  <si>
    <t xml:space="preserve">容大感光</t>
  </si>
  <si>
    <t xml:space="preserve">PCB光刻胶为收入基本盘，液态阻焊/线路油墨确定性强，感光干膜是增量方向；AI高多层PCB带来图形精度和材料升级需求，但公司不是AI服务器部件直接供应商。主板块由干膜收敛为PCB光刻胶，干膜并入备注，风险是产品价格、客户认证和半导体/显示光刻胶放量不及预期。证据B。</t>
  </si>
  <si>
    <t xml:space="preserve">高速光模块</t>
  </si>
  <si>
    <t xml:space="preserve">301205</t>
  </si>
  <si>
    <t xml:space="preserve">联特科技</t>
  </si>
  <si>
    <t xml:space="preserve">完成200G/通道光引擎设计与验证，单波200G的800G DR4和1.6T 2xDR4推进中，TFLN与ELSFP仍偏样品/早期；主板块保留高速光模块，ELSFP/CPO不单列，风险是规模出货、海外客户和盈利波动。证据B。</t>
  </si>
  <si>
    <t xml:space="preserve">液冷检测</t>
  </si>
  <si>
    <t xml:space="preserve">301128</t>
  </si>
  <si>
    <t xml:space="preserve">强瑞技术</t>
  </si>
  <si>
    <t xml:space="preserve">液冷服务器检测设备订单放量，同时完成集成化AI服务器高端GPU水冷散热系统研发，更偏制造/测试设备而非运行时液冷部件；主板块保留液冷检测，光模块散热并入备注，风险是项目收入波动和客户设备投资节奏。证据B。</t>
  </si>
  <si>
    <t xml:space="preserve">法拉第旋光片</t>
  </si>
  <si>
    <t xml:space="preserve">002222</t>
  </si>
  <si>
    <t xml:space="preserve">福晶科技</t>
  </si>
  <si>
    <t xml:space="preserve">晶体元器件和精密光学元件平台，主营覆盖晶体、精密光学和激光器件，磁光晶体/法拉第旋光片可映射光通信光隔离器链条；主板块保留法拉第旋光片，但AI光模块客户、批量订单和收入占比仍需验证，风险是激光与光通信收入分散、AI链条业绩弹性不足。证据B/C。</t>
  </si>
  <si>
    <t xml:space="preserve">行星滚柱丝杠</t>
  </si>
  <si>
    <t xml:space="preserve">688678</t>
  </si>
  <si>
    <t xml:space="preserve">福立旺</t>
  </si>
  <si>
    <t xml:space="preserve">证据中：2025提质增效评估/公开资料披露公司向人形机器人精密传动拓展，已开发5.0mm、6.5mm、9.0mm等螺母直径规格微型行星滚柱丝杠，并向多家头部客户送样；删减机器人关节结构件重复行，关节护罩、驱动器支架等结构件作为补充交付能力。风险是主业仍为精密金属零部件，丝杠商业化仍早期。</t>
  </si>
  <si>
    <t xml:space="preserve">002741</t>
  </si>
  <si>
    <t xml:space="preserve">光华科技</t>
  </si>
  <si>
    <t xml:space="preserve">PCB化学品和电镀化学品平台，覆盖沉铜、电镀和表面处理等工序，可受益高端PCB湿制程材料国产替代；主板块保留PCB湿化学，但AI高多层板客户和高端产品占比证据弱于天承科技，风险是业务平台分散、毛利率和客户认证。证据B/C。</t>
  </si>
  <si>
    <t xml:space="preserve">300548</t>
  </si>
  <si>
    <t xml:space="preserve">长芯博创</t>
  </si>
  <si>
    <t xml:space="preserve">光通信器件/模块平台，AOC光电转换芯片、AOC和OCS相关能力并入高速互连主线，不再拆独立板块；主板块保留高速光模块，核心看高速数通模块、海外客户和盈利修复。证据B。</t>
  </si>
  <si>
    <t xml:space="preserve">微光学耦合元件</t>
  </si>
  <si>
    <t xml:space="preserve">688167</t>
  </si>
  <si>
    <t xml:space="preserve">炬光科技</t>
  </si>
  <si>
    <t xml:space="preserve">光子技术平台，数据通信方向提供微透镜及阵列、V型槽阵列、FAU、ELSFP、NPO、CPO和OCS等场景的微光学解决方案，部分客户已批量交付；主板块改为微光学耦合元件，FAU和光模块封测耦合设备合并，风险是公司仍处亏损修复期、光通信收入基数小和客户认证转量产节奏。证据B。</t>
  </si>
  <si>
    <t xml:space="preserve">光纤连接</t>
  </si>
  <si>
    <t xml:space="preserve">300570</t>
  </si>
  <si>
    <t xml:space="preserve">太辰光</t>
  </si>
  <si>
    <t xml:space="preserve">光通信器件公司，MTP/MPO等高密度光连接产品直接受益数据中心高速互连需求，年报显示光通信器件主业延续增长；主板块改为光纤连接，FAU、陶瓷插芯和PM光纤并入备注，不再重复列板块，风险是北美客户集中、关税扰动和CPO商用节奏。证据A/B。</t>
  </si>
  <si>
    <t xml:space="preserve">688183</t>
  </si>
  <si>
    <t xml:space="preserve">生益电子</t>
  </si>
  <si>
    <t xml:space="preserve">AI服务器、OAM、UBB等高端PCB已大规模量产，2025年AI算力相关产品同比高增，是PCB环节纯度较高的标的；主板块保留AI服务器高速PCB，BT载板并入备注后不单列，风险是客户集中、产能爬坡和高端良率。证据A。2026-06-16 JPM补充：报告强化AI server/switch PCB复杂度与高端CCL需求，对生益电子的AI服务器、OAM、UBB等高端PCB形成需求侧佐证；仍需跟踪客户、毛利和产能爬坡。</t>
  </si>
  <si>
    <t xml:space="preserve">688048</t>
  </si>
  <si>
    <t xml:space="preserve">长光华芯</t>
  </si>
  <si>
    <t xml:space="preserve">半导体激光芯片IDM平台，已形成VCSEL/DFB/EML/PIN光通信芯片矩阵且客户订单起量；AI光通信弹性有早期兑现，但扣非仍亏，客户与产品代际放量需继续跟踪。证据B。</t>
  </si>
  <si>
    <t xml:space="preserve">新型光纤</t>
  </si>
  <si>
    <t xml:space="preserve">600487</t>
  </si>
  <si>
    <t xml:space="preserve">亨通光电</t>
  </si>
  <si>
    <t xml:space="preserve">光棒、光纤、光缆及海洋通信平台型公司，已披露空芯光纤成缆和商用线路推进，AI算力对低时延/高带宽光纤形成中长期拉动；主板块由光纤细化为新型光纤，电力电缆不作为AI链主板块，降级到电力/能源基建背景。风险是铜缆和能源业务摊薄、空芯规模化和毛利率波动。证据B。</t>
  </si>
  <si>
    <t xml:space="preserve">688388</t>
  </si>
  <si>
    <t xml:space="preserve">嘉元科技</t>
  </si>
  <si>
    <t xml:space="preserve">铜箔规模平台，围绕AI算力、IC载板等方向布局RTF、HVLP、载体铜箔等高端产品，2025经营修复；当前AI PCB客户批量、收入占比和毛利率证据仍弱，定位高端铜箔观察。证据B。</t>
  </si>
  <si>
    <t xml:space="preserve">601869</t>
  </si>
  <si>
    <t xml:space="preserve">长飞光纤</t>
  </si>
  <si>
    <t xml:space="preserve">2026-07-20更新：主营仍是“光棒—光纤—光缆”光传输产品。2025年光传输产品收入83.46亿元、占58.56%、毛利率35.90%；光互联组件收入31.44亿元、占22.06%、毛利率39.73%。2026H1预告归母净利润24—30亿元（同比+711%—914%）、扣非20—26亿元（同比+1349%—1784%）；据Q1归母4.95亿元推算，Q2归母约19.05—25.05亿元。公司称增量来自算力数据中心加速建设、国内外新型光纤光缆需求、核心客户拓展、产品结构优化及盈利能力提升。产品层：普通单模、预制棒及光缆仍是量的基本盘；G.654.E已超百万芯公里规模部署，OM4/OM4 Pro/OM5已规模商用；G.657.A2为成熟量产品种且对本轮高端光棒涨价敏感，但公司未披露其独立收入、ASP或毛利率；空芯/多芯仍偏产业化导入，不能视为当前利润主体。价格基准判断：A2及高端光棒2026H2仍偏强，2027H1涨幅钝化，名义高点更可能在2027Q2—Q3，2027H2—2028随有效产能释放而分化、回落风险上升。证据边界：行业A2报价及Corning海外长协不等于长飞实现售价、客户或订单；继续跟踪2026中报分产品收入/毛利率、现金流、存货及客户订单。来源：公司2026H1业绩预增公告、2025年报、2026-05-22业绩说明会；行业价格为二级证据。</t>
  </si>
  <si>
    <t xml:space="preserve">AI服务器电源磁性件</t>
  </si>
  <si>
    <t xml:space="preserve">002885</t>
  </si>
  <si>
    <t xml:space="preserve">京泉华</t>
  </si>
  <si>
    <t xml:space="preserve">证据中：2025年报披露磁性器件和电源产品可用于AI服务器集群、GPU电源模块、数据中心高压直流供电系统，但收入仍由磁性元器件、电源、特种变压器共同构成；主线保留AI服务器电源磁性件。</t>
  </si>
  <si>
    <t xml:space="preserve">002938</t>
  </si>
  <si>
    <t xml:space="preserve">鹏鼎控股</t>
  </si>
  <si>
    <t xml:space="preserve">全球PCB平台型龙头，年报将AI服务器、光模块等核心产品列为重点提升方向，FPC/SLP/HDI/RPCB平台有云-管-端协同；主板块保留AI服务器高速PCB，FC-BGA和AI服务器FPC并入备注，风险是消费电子占比高、AI收入拆分仍不够透明。证据B。</t>
  </si>
  <si>
    <t xml:space="preserve">002916</t>
  </si>
  <si>
    <t xml:space="preserve">深南电路</t>
  </si>
  <si>
    <t xml:space="preserve">PCB综合龙头，AI服务器/高速互连PCB与FC-BGA/BT载板能力共振；2026-06-16 ABF/IC载板复核后定位为“基本面质量锚”：深南电路具备数据中心PCB、封装基板平台和FC-BGA研发/打样能力，但不能直接写成NVIDIA/AMD高端GPU ABF载板订单。主板块保留AI服务器高速PCB，ABF/IC载板放备注跟踪，风险是封装基板收入占比、24层及以上进度、客户放量和毛利兑现。证据A/B。2026-06-16 JPM补充：报告估算IC载板UTR在2027e超过100%、AI server &amp; switch面积需求2028e占比75%，强化FC-BGA/ABF独立跟踪；深南仍需24层以上FC-BGA进展、大客户订单、收入和毛利验证。</t>
  </si>
  <si>
    <t xml:space="preserve">605589</t>
  </si>
  <si>
    <t xml:space="preserve">圣泉集团</t>
  </si>
  <si>
    <t xml:space="preserve">电子级PPO/OPE/碳氢树脂等先进电子材料用于高频高速覆铜板，年报披露已与国际龙头及头部PCB/CCL厂联合开发与批量供货，应用于服务器、高速通信和AI算力设备；主板块保留高速电子树脂，风险是产能释放、价格和客户认证节奏。证据A。</t>
  </si>
  <si>
    <t xml:space="preserve">300666</t>
  </si>
  <si>
    <t xml:space="preserve">江丰电子</t>
  </si>
  <si>
    <t xml:space="preserve">证据强：2025年报显示公司核心产品为超高纯金属溅射靶材，覆盖先进制程及存储、逻辑、功率等客户，半导体靶材收入占比高；HBM TSV金属材料属于先进封装/存储升级延伸，证据仍弱于靶材主业，合并删减“HBM TSV金属材料”重复行。</t>
  </si>
  <si>
    <t xml:space="preserve">688498</t>
  </si>
  <si>
    <t xml:space="preserve">源杰科技</t>
  </si>
  <si>
    <t xml:space="preserve">主营光通信激光芯片，数据中心收入已成为主要增长来源，CW/EML直接受益800G/1.6T与硅光外置光源；仍需继续验证200G EML客户、订单和估值拥挤风险。证据A/B。</t>
  </si>
  <si>
    <t xml:space="preserve">603256</t>
  </si>
  <si>
    <t xml:space="preserve">宏和科技</t>
  </si>
  <si>
    <t xml:space="preserve">高端电子布纯度高，港交所申请版本披露低Dk/Df、低CTE和石英布路线，并进入GPU/CPU等核心供应链；主线保留低介电电子布，石英布作为未来项，风险是估值拥挤和客户脱敏。证据A。 2026-06-17 HVLP4/T-glass复核：放“交易弹性/高优先观察”，不是基本面主受益；公司Low Dk/Low CTE电子布相关度高，但官方追杀后，NVIDIA直签/寄售/提前一年锁产能仍未闭环；DIGITIMES只支持NVIDIA接洽Co-Tech讨论长期产能规划，仍需分布种收入、客户认证、交期/allocation和毛利兑现。</t>
  </si>
  <si>
    <t xml:space="preserve">半导体射频电源</t>
  </si>
  <si>
    <t xml:space="preserve">300820</t>
  </si>
  <si>
    <t xml:space="preserve">英杰电气</t>
  </si>
  <si>
    <t xml:space="preserve">证据中强：2025年报显示公司半导体等电子材料设备电源收入增长，射频电源、RPS远程等离子源等产品用于刻蚀/沉积/清洗等前道设备；公司不是离子注入设备商，合并删减“离子注入、RPS远程等离子源”重复行，主线收敛为半导体射频电源。</t>
  </si>
  <si>
    <t xml:space="preserve">洁净过滤材料</t>
  </si>
  <si>
    <t xml:space="preserve">603601</t>
  </si>
  <si>
    <t xml:space="preserve">再升科技</t>
  </si>
  <si>
    <t xml:space="preserve">证据中：2025年报披露公司干净空气材料包括高效空气滤材、PTFE膜等，是FFU、新风系统等核心部件，用于工业电子、生物医药等洁净场景；半导体洁净室链条为间接受益，且2025收入利润承压，故由半导体洁净过滤降级为洁净过滤材料。</t>
  </si>
  <si>
    <t xml:space="preserve">TGV激光微孔设备</t>
  </si>
  <si>
    <t xml:space="preserve">300776</t>
  </si>
  <si>
    <t xml:space="preserve">帝尔激光</t>
  </si>
  <si>
    <t xml:space="preserve">证据中强：2025年报披露TGV设备已完成晶圆级和板级玻璃基板通孔设备出货，实现TGV封装激光技术覆盖；公司本质是设备供应商而非玻璃基板厂，主板块由玻璃基板修正为TGV激光微孔设备。</t>
  </si>
  <si>
    <t xml:space="preserve">688170</t>
  </si>
  <si>
    <t xml:space="preserve">德龙激光</t>
  </si>
  <si>
    <t xml:space="preserve">精密激光加工设备公司，2025年报披露PCB/FPC激光切割钻孔解决方案可加工AI服务器HDI高频材料、IC载板ABF膜、陶瓷基板和BT树脂等高端基板；主板块改为PCB激光加工设备，先进封装切割并入备注，风险是收入规模、客户量产验证和利润修复持续性。证据B。</t>
  </si>
  <si>
    <t xml:space="preserve">半导体测试分选设备</t>
  </si>
  <si>
    <t xml:space="preserve">688328</t>
  </si>
  <si>
    <t xml:space="preserve">深科达</t>
  </si>
  <si>
    <t xml:space="preserve">证据中：2025年报/公告显示公司半导体设备业务增长，转塔式和平移式测试分选机实现批量订单交付，子公司深科达半导体贡献利润；未见TCB热压键合为核心收入，故由TCB修正为半导体测试分选设备。</t>
  </si>
  <si>
    <t xml:space="preserve">半导体电子特气</t>
  </si>
  <si>
    <t xml:space="preserve">600378</t>
  </si>
  <si>
    <t xml:space="preserve">昊华科技</t>
  </si>
  <si>
    <t xml:space="preserve">证据中强：昊华气体官网披露电子级六氟化钨5N产品，公开互动口径称WF6产能约600吨/年；AI链条来自先进制程/存储芯片CVD钨沉积用电子特气需求，确定性和客户验证透明度弱于中船特气，需跟踪6N升级、客户认证、出口订单和钨粉成本传导。</t>
  </si>
  <si>
    <t xml:space="preserve">先进封装光刻胶</t>
  </si>
  <si>
    <t xml:space="preserve">688720</t>
  </si>
  <si>
    <t xml:space="preserve">艾森股份</t>
  </si>
  <si>
    <t xml:space="preserve">证据强：2025年报披露电镀液覆盖TSV/RDL/Bumping等，先进封装光刻胶覆盖RDL/Bumping/TSV并推进PSPI验证或小量产；合并“先进封装电镀液”和“RDL-Bumping”，主板块保留更能体现先进封装增量的先进封装光刻胶，电镀液作为辅线。</t>
  </si>
  <si>
    <t xml:space="preserve">石英电子布</t>
  </si>
  <si>
    <t xml:space="preserve">300395</t>
  </si>
  <si>
    <t xml:space="preserve">菲利华</t>
  </si>
  <si>
    <t xml:space="preserve">石英材料/纤维一体化延伸到超薄石英电子布，2025年石英电子布收入9837.37万元，仍处客户端小批量测试和终端认证；主板块由低介电电子布细化为石英电子布，半导体石英材料作为基本面支撑放备注，不再单列AI主板块；风险是收入占比小和订单不确定。证据A/B。 2026-06-28 光纤上游补充：除石英电子布外，光通信/半导体石英材料可延伸到光纤预制棒支撑棒、把手棒、厚壁管、炉芯管等；与长盈通推进光纤配套衬管/套管项目，作为光棒上游高纯石英制品观察，不等同石英电子布主线。</t>
  </si>
  <si>
    <t xml:space="preserve">FC-BGA载板</t>
  </si>
  <si>
    <t xml:space="preserve">002436</t>
  </si>
  <si>
    <t xml:space="preserve">兴森科技</t>
  </si>
  <si>
    <t xml:space="preserve">证据中强：IC封装基板收入高增，FCBGA/ABF项目面向服务器、AI芯片、交换机晶片等应用并处小批量生产/客户导入阶段；2026-06-16 ABF复核后定位为“watch+ / event_trade_option”，更像订单突破期权而非当前基本面主受益。风险是大批量量产取决于客户进展和供应商管理策略，FCBGA过去仍拖累利润，需跟踪客户层级、单季收入和毛利改善。证据A/B。2026-06-16 JPM补充：报告估算载板UTR在2027e超过100%，AI server &amp; switch面积需求从2024年2,448 bn mm2升至2028e 21,522 bn mm2，占比升至75%；兴森仍是FC-BGA/ABF订单突破期权，需大客户、量产、收入和毛利验证。</t>
  </si>
  <si>
    <t xml:space="preserve">数据中心液冷系统</t>
  </si>
  <si>
    <t xml:space="preserve">301018</t>
  </si>
  <si>
    <t xml:space="preserve">申菱环境</t>
  </si>
  <si>
    <t xml:space="preserve">年报披露液冷系列覆盖CDU、Manifold、一体化冷源、干冷器、预制化管网、液冷门、快速接头和冷板，且在中国液冷数据中心CDU/智算市场排名靠前；主板块保留数据中心液冷系统，冷源行并入备注，风险是项目型交付、应收账款和订单持续性。证据A。</t>
  </si>
  <si>
    <t xml:space="preserve">AI药物发现</t>
  </si>
  <si>
    <t xml:space="preserve">688222</t>
  </si>
  <si>
    <t xml:space="preserve">成都先导</t>
  </si>
  <si>
    <t xml:space="preserve">证据中强：2025年报披露公司以DEL技术为核心，并自主研发DEL+AI+自动化一体化分子优化平台HAILO，覆盖计算科学/AI数据分析与分子设计；主板块由AI制药收敛为AI药物发现。</t>
  </si>
  <si>
    <t xml:space="preserve">光模块封测耦合设备</t>
  </si>
  <si>
    <t xml:space="preserve">300757</t>
  </si>
  <si>
    <t xml:space="preserve">罗博特科</t>
  </si>
  <si>
    <t xml:space="preserve">通过ficonTEC切入光电子及半导体封测设备，年报披露设备用于硅光芯片、光模块、量子器件等微组装和测试，并进入多家全球头部科技公司供应链；可插拔光模块封装设备获同一集团客户约6亿元订单，CPO/OCS/OIO量产化升级带来高弹性。风险是并购整合、订单交付、亏损修复和光伏旧业务拖累。证据A。</t>
  </si>
  <si>
    <t xml:space="preserve">688268</t>
  </si>
  <si>
    <t xml:space="preserve">华特气体</t>
  </si>
  <si>
    <t xml:space="preserve">证据强：2025年报摘要披露公司特种气体品种数量位居国内前列，已实现57个产品进口替代，覆盖国内8/12英寸集成电路制造厂商超90%客户，并切入全球顶尖半导体供应链；先进封装需求体现在电子特气增量，合并删减泛“先进封装工艺材料”重复行。</t>
  </si>
  <si>
    <t xml:space="preserve">300936</t>
  </si>
  <si>
    <t xml:space="preserve">中英科技</t>
  </si>
  <si>
    <t xml:space="preserve">小市值高频高速覆铜板标的，AI服务器高速PCB/CCL需求可带来弹性；主板块保留高端高速CCL，核心看量产规模、客户结构和盈利修复，证据强度弱于生益/南亚。证据B/C。 2026-06-17 HVLP4/T-glass复核：放“仅观察/PTFE-M10相邻线索”；PTFE高频覆铜板不属于HVLP4铜箔或T-glass直签锁产能主线，需AI server/M9-M10客户认证、量产收入和毛利证据后再上调。</t>
  </si>
  <si>
    <t xml:space="preserve">低抖动时钟源</t>
  </si>
  <si>
    <t xml:space="preserve">603738</t>
  </si>
  <si>
    <t xml:space="preserve">泰晶科技</t>
  </si>
  <si>
    <t xml:space="preserve">证据中强：2025年报/半年报披露公司开发面向AI数据中心基础设施的312.5MHz差分输出温补振荡器和低抖动可编程振荡器，满足AI数据中心、3.2T光模块、AI算力等需求；主板块保留低抖动时钟源。</t>
  </si>
  <si>
    <t xml:space="preserve">688700</t>
  </si>
  <si>
    <t xml:space="preserve">东威科技</t>
  </si>
  <si>
    <t xml:space="preserve">PCB电镀设备龙头，2025年业绩预告/年报信息显示受PCB东南亚投资潮、AI和算力领域发展带动，PCB电镀设备订单持续增长；垂直连续电镀、水平三合一和VCP覆盖服务器、云存储、高阶HDI及IC载板。主板块保留PCB电镀设备，风险是订单交付、海外扩产节奏和新能源电镀业务波动。证据A/B。</t>
  </si>
  <si>
    <t xml:space="preserve">FPC测试设备</t>
  </si>
  <si>
    <t xml:space="preserve">688312</t>
  </si>
  <si>
    <t xml:space="preserve">燕麦科技</t>
  </si>
  <si>
    <t xml:space="preserve">FPC自动化测试设备供应商，年报披露核心仍是FPC/FPCA后段测试、组装和智能化设备；AI服务器高多层PCB检测证据不足，主板块由PCB AOI收窄为FPC测试设备，硅光/半导体测试仍属于待放量观察，风险是消费电子客户集中、新项目量产和AI链条相关性偏弱。证据B/C。</t>
  </si>
  <si>
    <t xml:space="preserve">光通信陶瓷管壳</t>
  </si>
  <si>
    <t xml:space="preserve">003031</t>
  </si>
  <si>
    <t xml:space="preserve">中瓷电子</t>
  </si>
  <si>
    <t xml:space="preserve">电子陶瓷平台叠加GaN通信器件、SiC功率模块业务；投关披露氮化铝多层薄厚膜已批量出货，产品用于400G、800G、1.6T高频高速光模块，AI数据中心光模块升级拉动较直接。主板块保留光通信陶瓷管壳，静电卡盘并入备注作为半导体设备陶瓷观察，风险是客户份额、产品价格和三代半业务周期。证据B。</t>
  </si>
  <si>
    <t xml:space="preserve">603002</t>
  </si>
  <si>
    <t xml:space="preserve">宏昌电子</t>
  </si>
  <si>
    <t xml:space="preserve">环氧树脂+覆铜板双主业，低介电聚醚树脂、无卤阻燃树脂和高频高速覆铜板可适配高端服务器与5G通信设备；主板块保留高速电子树脂，AI链条证据强于普通环氧但仍需看高端材料批量导入和利润率。证据B。</t>
  </si>
  <si>
    <t xml:space="preserve">300811</t>
  </si>
  <si>
    <t xml:space="preserve">铂科新材</t>
  </si>
  <si>
    <t xml:space="preserve">证据强：2025年报披露以芯片电感为主的一体成型电感业务规模快速提升，成为第二增长曲线，并有适配AI等应用的超高功率密度模块用电感研发项目；主板块由GPU供电电感收敛为AI芯片电感。</t>
  </si>
  <si>
    <t xml:space="preserve">功率半导体测试设备</t>
  </si>
  <si>
    <t xml:space="preserve">301369</t>
  </si>
  <si>
    <t xml:space="preserve">联动科技</t>
  </si>
  <si>
    <t xml:space="preserve">证据中：2025年报显示公司聚焦功率半导体、小信号分立器件测试系统及激光打标设备，并提到紧抓大功率器件、第三代半导体、人工智能产业机遇向SoC测试拓展；AI链条较间接，主板块由泛半导体测试收敛为功率半导体测试设备。</t>
  </si>
  <si>
    <t xml:space="preserve">002957</t>
  </si>
  <si>
    <t xml:space="preserve">科瑞技术</t>
  </si>
  <si>
    <t xml:space="preserve">自动化装备公司，2025年报披露面向半导体及光模块推出光器件耦合设备、镜片/镜群耦合设备、光模块芯片AOI与COS AOI、光模块芯片共晶贴片和光纤打磨设备等，适配800G-3.2T光模块制造升级；主板块保留光模块封测耦合设备，风险是设备收入占比、头部客户订单和盈利修复。证据B。</t>
  </si>
  <si>
    <t xml:space="preserve">301200</t>
  </si>
  <si>
    <t xml:space="preserve">大族数控</t>
  </si>
  <si>
    <t xml:space="preserve">PCB专用设备龙头，覆盖钻孔、成型、曝光、检测等关键工序；2025财务决算披露受AI服务器、高速交换机高多层板和高多层HDI扩产驱动，营收57.73亿元、同比增长72.68%，净利润同比增长173.68%。主板块改为PCB专用设备，PCB AOI和高多层PCB加工耗材并入备注，风险是下游扩产周期、客户集中和海外产能兑现。证据A。</t>
  </si>
  <si>
    <t xml:space="preserve">服务器液冷板</t>
  </si>
  <si>
    <t xml:space="preserve">300731</t>
  </si>
  <si>
    <t xml:space="preserve">科创新源</t>
  </si>
  <si>
    <t xml:space="preserve">证据中强：2025年报披露创源智热开展数据中心散热结构件业务，产品含液冷板、虹吸式散热模组，四季度在台系散热结构件厂商、云计算服务商等客户端取得突破；删减“液冷管路”重复行，AI服务器机柜降级为应用场景。</t>
  </si>
  <si>
    <t xml:space="preserve">AI片段分子库</t>
  </si>
  <si>
    <t xml:space="preserve">688131</t>
  </si>
  <si>
    <t xml:space="preserve">皓元医药</t>
  </si>
  <si>
    <t xml:space="preserve">证据中：2025年报披露公司开发药物片段分子库，完成1万多种可用于药物筛选的小分子及类似物，并指出片段分子库结合人工智能大数据和实验筛选模型用于先导化合物发现；AI化合物库收敛为AI片段分子库。</t>
  </si>
  <si>
    <t xml:space="preserve">002463</t>
  </si>
  <si>
    <t xml:space="preserve">沪电股份</t>
  </si>
  <si>
    <t xml:space="preserve">高速通信/AI服务器PCB主线，数据中心交换机、服务器、加速卡等高多层高速板客户和产品验证最直接；主板块保留AI服务器高速PCB，风险是大客户节奏、毛利年降和扩产良率。证据A。2026-06-16 JPM补充：报告强调AI switch层数提升、HDI良率下降和M9升级可能使高层高速PCB供给落后需求，强化需求侧和复杂度证据；仍不证明具体客户订单或交期失控。</t>
  </si>
  <si>
    <t xml:space="preserve">合成高纯石英材料</t>
  </si>
  <si>
    <t xml:space="preserve">600552</t>
  </si>
  <si>
    <t xml:space="preserve">凯盛科技</t>
  </si>
  <si>
    <t xml:space="preserve">合成高纯二氧化硅/高纯石英砂项目进入试生产和客户验证线索，可作为光纤级、半导体级高纯二氧化硅国产替代观察；与光纤套管、炉芯管等成品供应链的适配仍需验证。风险是验证周期、量产良率、客户结构和实际出货规模。证据B/C。新增：2026-06-28 光纤上游补充。</t>
  </si>
  <si>
    <t xml:space="preserve">机器人精密减速器</t>
  </si>
  <si>
    <t xml:space="preserve">002896</t>
  </si>
  <si>
    <t xml:space="preserve">中大力德</t>
  </si>
  <si>
    <t xml:space="preserve">证据中强：2025年报披露精密减速器受工业机器人产量增长、人形机器人原型机批量落地等带动，公司具备行星、RV、谐波三大减速器布局，并通过减速器+电机+驱动一体化架构形成智能执行单元。主板块从机器人减速器规范为机器人精密减速器，跟踪人形机器人客户、型号验证和毛利率。</t>
  </si>
  <si>
    <t xml:space="preserve">电网自动化</t>
  </si>
  <si>
    <t xml:space="preserve">601126</t>
  </si>
  <si>
    <t xml:space="preserve">四方股份</t>
  </si>
  <si>
    <t xml:space="preserve">继电保护、自动化与控制系统、电力电子和智慧用电方案是主线，年报披露参与中国移动呼和浩特数据中心、京津算力产业园、芜湖字节跳动火山引擎算力中心等项目，AI数据中心电力管理证据强于多数自动化公司。主板块保留电网自动化，风险是数据中心项目规模占比、海外拓展和工业自动化毛利。证据A。</t>
  </si>
  <si>
    <t xml:space="preserve">晶圆硅片</t>
  </si>
  <si>
    <t xml:space="preserve">605358</t>
  </si>
  <si>
    <t xml:space="preserve">立昂微</t>
  </si>
  <si>
    <t xml:space="preserve">半导体硅片、功率器件和化合物半导体平台，2025年报披露6-12英寸硅抛光片/外延片和12英寸产能建设是主线；VCSEL收入增速高但金额仍小，且更多已在激光雷达等场景验证，AI光模块映射不足。主板块改为晶圆硅片，VCSEL并入备注，风险是产能折旧、存货减值和硅片价格周期。证据B/C。</t>
  </si>
  <si>
    <t xml:space="preserve">光纤级高纯四氯化硅</t>
  </si>
  <si>
    <t xml:space="preserve">603938</t>
  </si>
  <si>
    <t xml:space="preserve">三孚股份</t>
  </si>
  <si>
    <t xml:space="preserve">6N/9N高纯四氯化硅直接用于光纤预制棒，现有高纯四氯化硅产能约3万吨/年，9N量小但可供应高端光棒/PCVD并出口欧洲特纤市场；AI数据中心光纤紧缺向光棒原料传导，属于当前更直接的外供标的。风险是9N实际销量、客户结构、涨价持续性和非光纤需求分流。证据A/B。新增：2026-06-28 光纤上游补充。</t>
  </si>
  <si>
    <t xml:space="preserve">算力中心运维</t>
  </si>
  <si>
    <t xml:space="preserve">002929</t>
  </si>
  <si>
    <t xml:space="preserve">润建股份</t>
  </si>
  <si>
    <t xml:space="preserve">证据中：2025年报披露算力网络业务增长、算力中心管理运维和智算云服务推进，但AI及算力收入占比仍较小且归母净利下滑；保留算力中心运维并下调盈利确定性。</t>
  </si>
  <si>
    <t xml:space="preserve">605366</t>
  </si>
  <si>
    <t xml:space="preserve">宏柏新材</t>
  </si>
  <si>
    <t xml:space="preserve">规划高纯四氯化硅项目并对标9N级需求，但截至2026-06公开口径仍提示项目未开工/产能为零；只放observation/watch，不作为当前供应。风险是建设周期、环评/设备、客户认证和主题预期先行。证据B/C。新增：2026-06-28 光纤上游补充。</t>
  </si>
  <si>
    <t xml:space="preserve">半导体前驱体材料</t>
  </si>
  <si>
    <t xml:space="preserve">300346</t>
  </si>
  <si>
    <t xml:space="preserve">南大光电</t>
  </si>
  <si>
    <t xml:space="preserve">证据中强：2025年报显示公司围绕先进前驱体、电子特气、光刻胶及配套材料三大核心半导体材料发展，业绩连续增长；光刻胶有产业化突破但收入规模仍需跟踪，主线从光刻胶/ALD-CVD前驱体重复标签收敛为半导体前驱体材料。</t>
  </si>
  <si>
    <t xml:space="preserve">688141</t>
  </si>
  <si>
    <t xml:space="preserve">杰华特</t>
  </si>
  <si>
    <t xml:space="preserve">证据中强：2025年报披露高集成度电源管理芯片在服务器领域渗透率提升，公开互动显示DrMOS、多相控制器、eFuse等已形成PC-服务器-AI产品矩阵；合并删减eFuse、多相DC-DC重复行。</t>
  </si>
  <si>
    <t xml:space="preserve">物理AI工业仿真</t>
  </si>
  <si>
    <t xml:space="preserve">688507</t>
  </si>
  <si>
    <t xml:space="preserve">索辰科技</t>
  </si>
  <si>
    <t xml:space="preserve">证据强：2025年报披露公司以CAE为核心并新增开物系列物理AI平台，物理AI聚焦工业场景机理建模与精准计算，产品矩阵从CAE延伸至工业软件全链条；主板块由工业仿真AI升级为物理AI工业仿真。</t>
  </si>
  <si>
    <t xml:space="preserve">数据中心电源</t>
  </si>
  <si>
    <t xml:space="preserve">300870</t>
  </si>
  <si>
    <t xml:space="preserve">欧陆通</t>
  </si>
  <si>
    <t xml:space="preserve">数据中心电源已成为增长主线，2025年报披露数据中心电源收入20.15亿元、同比增长38.15%，高功率数据中心电源收入12.99亿元、同比增长66.52%；产品覆盖CRPS、GPU服务器电源、浸没式液冷电源和Power Shelf。主板块保留数据中心电源，风险是价格竞争、毛利率下滑、海外客户和新产能爬坡。证据A。</t>
  </si>
  <si>
    <t xml:space="preserve">半导体离子注入设备</t>
  </si>
  <si>
    <t xml:space="preserve">600641</t>
  </si>
  <si>
    <t xml:space="preserve">万业企业</t>
  </si>
  <si>
    <t xml:space="preserve">证据中：公司半导体装备平台以上海凯世通离子注入机为核心，处于国产替代长周期节点；但2025年利润波动较大，半导体装备收入和客户放量仍需持续验证，AI链条为晶圆制造设备国产化间接受益。</t>
  </si>
  <si>
    <t xml:space="preserve">AI服务器ODM</t>
  </si>
  <si>
    <t xml:space="preserve">601138</t>
  </si>
  <si>
    <t xml:space="preserve">工业富联</t>
  </si>
  <si>
    <t xml:space="preserve">证据强：2025年报披露公司与全球头部客户协同下一代AI服务器及液冷技术，云服务商AI服务器收入同比大增，GPU与ASIC方案产品快速增长；删减“AI服务器机柜”重复行，机柜/液冷作为ODM系统能力纳入备注。</t>
  </si>
  <si>
    <t xml:space="preserve">603061</t>
  </si>
  <si>
    <t xml:space="preserve">金海通</t>
  </si>
  <si>
    <t xml:space="preserve">证据强：2025年报披露公司专注半导体芯片测试设备，三温测试分选机及大平台超多工位测试分选机需求持续增长、产品销量提升；AI算力芯片和先进封装属于复杂测试应用场景，主板块保留半导体测试分选机。</t>
  </si>
  <si>
    <t xml:space="preserve">先进封装X-Ray检测</t>
  </si>
  <si>
    <t xml:space="preserve">688531</t>
  </si>
  <si>
    <t xml:space="preserve">日联科技</t>
  </si>
  <si>
    <t xml:space="preserve">证据中强：2025年报披露公司形成X射线源、AI软件算法、3D/CT等工业检测能力，集成电路X射线精密检测系统面向传统封装及先进封装内部制程缺陷检测；AI链条主要来自先进封装检测需求，主板块保留先进封装X-Ray检测。</t>
  </si>
  <si>
    <t xml:space="preserve">高速铜互连</t>
  </si>
  <si>
    <t xml:space="preserve">688800</t>
  </si>
  <si>
    <t xml:space="preserve">瑞可达</t>
  </si>
  <si>
    <t xml:space="preserve">公司切入AI领域高速铜缆连接产品，AEC/DAC/ACC覆盖400G/800G并推进更高速率，同时有数据中心液冷UQD连接器项目；主板块由大电流连接改为高速铜互连，液冷快接头作为第二曲线并入备注，风险是小批量到规模交付、客户集中和盈利弹性不确定。证据B。</t>
  </si>
  <si>
    <t xml:space="preserve">603203</t>
  </si>
  <si>
    <t xml:space="preserve">快克智能</t>
  </si>
  <si>
    <t xml:space="preserve">精密焊接、点胶、检测和自动化设备平台，2025年报披露光模块专用AOI可识别激光器芯片偏移、金线键合缺陷和光芯片波导亚微米级缺陷，并批量供应多家光模块龙头；主板块保留光模块封测耦合设备，AI眼镜激光焊接和TCB并入备注，风险是光模块设备放量、客户集中和先进封装证据仍弱。证据B。</t>
  </si>
  <si>
    <t xml:space="preserve">AI服务器高端电容</t>
  </si>
  <si>
    <t xml:space="preserve">603989</t>
  </si>
  <si>
    <t xml:space="preserve">艾华集团</t>
  </si>
  <si>
    <t xml:space="preserve">证据中强：2025年报披露新能源及AI数据中心成为行业增长引擎，公司叠层铝电容等高端产品进入通信、数据中心市场，并计划深耕AI服务器电源；保留高端电容并明确AI服务器应用。</t>
  </si>
  <si>
    <t xml:space="preserve">301526</t>
  </si>
  <si>
    <t xml:space="preserve">国际复材</t>
  </si>
  <si>
    <t xml:space="preserve">玻纤与电子布平台，低介电LDK一代/二代、高频高速电子纤维布项目和满产/订单线索支撑AI PCB材料映射；需区分普通玻纤周期修复与高端低介电布的真实利润贡献。证据B。</t>
  </si>
  <si>
    <t xml:space="preserve">微透镜</t>
  </si>
  <si>
    <t xml:space="preserve">603297</t>
  </si>
  <si>
    <t xml:space="preserve">永新光学</t>
  </si>
  <si>
    <t xml:space="preserve">精密光学元组件和显微镜平台，2025年报披露半导体光学切入光刻机对准/照明系统并布局空间激光通信光学组件；AI光模块微透镜映射仍偏宽口径观察，主板块暂保留微透镜，风险是数据中心光通信客户、具体料号和收入占比证据不足。证据C/B。</t>
  </si>
  <si>
    <t xml:space="preserve">AI芯片IP平台</t>
  </si>
  <si>
    <t xml:space="preserve">688521</t>
  </si>
  <si>
    <t xml:space="preserve">芯原股份</t>
  </si>
  <si>
    <t xml:space="preserve">证据强：2025年报披露AI算力业务成为增长引擎，NPU IP已被91家客户用于140余款AI芯片，GPU/VPU/SerDes等IP和Chiplet-UCIe接口均有进展；合并删减Chiplet-UCIe、GPU/GPGPU、NPU、AI子系统、高速接口IP重复行。</t>
  </si>
  <si>
    <t xml:space="preserve">002281</t>
  </si>
  <si>
    <t xml:space="preserve">光迅科技</t>
  </si>
  <si>
    <t xml:space="preserve">芯片、器件、模块一体化平台，400G/800G AI算力高速光互联产品已实现国内外同步投产，800G及以上高端产品占比较高；AOC、硅光、OCS、连接器等并入平台能力，不再拆成独立主板块，风险是AI数通弹性和利润率弱于更纯的云数据中心模块龙头。证据A/B。</t>
  </si>
  <si>
    <t xml:space="preserve">AI服务器散热材料</t>
  </si>
  <si>
    <t xml:space="preserve">300684</t>
  </si>
  <si>
    <t xml:space="preserve">中石科技</t>
  </si>
  <si>
    <t xml:space="preserve">热管理材料和组件平台，导热界面材料、石墨散热、VC/热模组已向服务器、数据中心和北美大客户交付，AI服务器热源到冷板界面的TIM/导热材料是直接受益节点；主板块保留AI服务器散热材料，EMI屏蔽和光模块散热并入备注，风险是客户集中、毛利率和单机价值量波动。证据A/B。</t>
  </si>
  <si>
    <t xml:space="preserve">半导体先进陶瓷部件</t>
  </si>
  <si>
    <t xml:space="preserve">301611</t>
  </si>
  <si>
    <t xml:space="preserve">珂玛科技</t>
  </si>
  <si>
    <t xml:space="preserve">证据中强：2025年报披露公司以半导体先进陶瓷零部件为核心，陶瓷加热器已大批量交付，静电卡盘8/12英寸产品通过客户验证并小规模量产；静电卡盘弹性清晰但收入仍小，主板块由单一静电卡盘修正为半导体先进陶瓷部件。</t>
  </si>
  <si>
    <t xml:space="preserve">机器人3D视觉</t>
  </si>
  <si>
    <t xml:space="preserve">688322</t>
  </si>
  <si>
    <t xml:space="preserve">奥比中光</t>
  </si>
  <si>
    <t xml:space="preserve">证据强：2025年报披露公司专注3D视觉感知，在人工智能与机器人时代打造“机器人之眼”和机器人与AI视觉产业中台；产品和生态围绕机器人、AI视觉、3D相机矩阵推进。删减泛化的“3D视觉传感器”重复表述，主板块保留机器人3D视觉。风险是机器人需求仍处导入期，短期收入仍含AIoT/生物识别等多场景。</t>
  </si>
  <si>
    <t xml:space="preserve">半导体光刻胶</t>
  </si>
  <si>
    <t xml:space="preserve">603650</t>
  </si>
  <si>
    <t xml:space="preserve">彤程新材</t>
  </si>
  <si>
    <t xml:space="preserve">证据强：2025年报披露半导体光刻胶业务高速增长，ArF光刻胶收入实现超800%突破，同时显示光刻胶规模优势稳固；RDL-Bumping属于先进封装光刻材料延伸，合并删减重复行。</t>
  </si>
  <si>
    <t xml:space="preserve">半导体测试设备</t>
  </si>
  <si>
    <t xml:space="preserve">688001</t>
  </si>
  <si>
    <t xml:space="preserve">华兴源创</t>
  </si>
  <si>
    <t xml:space="preserve">证据中：2025年报披露公司为工业自动化测试设备与整线系统方案商，产品用于消费电子、半导体集成电路和新能源汽车等；半导体侧包括SiP/芯片测试平台等研发，但AI业绩弹性未单列，合并删减“IC测试板、SiP系统模块测试、半导体测试分选机”重复行。</t>
  </si>
  <si>
    <t xml:space="preserve">603083</t>
  </si>
  <si>
    <t xml:space="preserve">剑桥科技</t>
  </si>
  <si>
    <t xml:space="preserve">光模块/数通设备高弹性标的，AI数据中心高速互连需求受益；主板块保留高速光模块，风险是订单节奏、客户结构、盈利波动和产品代际兑现。证据B。</t>
  </si>
  <si>
    <t xml:space="preserve">先进封装热界面材料</t>
  </si>
  <si>
    <t xml:space="preserve">688035</t>
  </si>
  <si>
    <t xml:space="preserve">德邦科技</t>
  </si>
  <si>
    <t xml:space="preserve">电子封装材料平台，导热界面材料、芯片级散热盖粘接胶、导电/绝缘固晶胶和DAF/CDAF覆盖高密度、异构集成先进封装及服务器/交换机散热材料；主板块由AI服务器散热材料收敛为先进封装热界面材料，Die Attach并入备注，风险是半导体客户认证、先进封装订单和产品毛利。证据A/B。</t>
  </si>
  <si>
    <t xml:space="preserve">688146</t>
  </si>
  <si>
    <t xml:space="preserve">中船特气</t>
  </si>
  <si>
    <t xml:space="preserve">2026-06-16 WF6复核后列为“main_candidate / 主受益候选”：公司具备直接WF6合成产能、6N产品能力、较高产能利用率和2027年新增产能规划，AI链条来自3D NAND/HBM/先进逻辑CVD钨沉积需求以及钨出口许可、APT/钨粉、WF6价格链。边界是Kanto Denka/Central Glass“2026-07-01永久停产”未获官方确认，公司也提示未签署新的长期或大额实质性订单，不能把WF6涨价线性外推为业绩。证据A/B/C。</t>
  </si>
  <si>
    <t xml:space="preserve">先进封装</t>
  </si>
  <si>
    <t xml:space="preserve">688362</t>
  </si>
  <si>
    <t xml:space="preserve">甬矽电子</t>
  </si>
  <si>
    <t xml:space="preserve">证据中强：产品以QFN/LGA/BGA/FlipChip/Bumping/WLCSP等中高端先进封装为主，具备Bumping+CP+FC+FT一站式能力，布局SiP、FC、RDL/Interposer等；AI/HPC为行业驱动力，但公司体量和高端客户验证仍需跟踪。</t>
  </si>
  <si>
    <t xml:space="preserve">半导体测试服务</t>
  </si>
  <si>
    <t xml:space="preserve">688135</t>
  </si>
  <si>
    <t xml:space="preserve">利扬芯片</t>
  </si>
  <si>
    <t xml:space="preserve">证据中强：2025年报显示公司主业为集成电路测试方案开发、晶圆测试和成品测试服务，营收创新高且亏损收窄，增长受高算力、存储、汽车电子等芯片测试需求和新客户/新产品导入带动；AI链条为后道测试服务弹性，客户与AI芯片收入未单列。</t>
  </si>
  <si>
    <t xml:space="preserve">半导体设备零部件</t>
  </si>
  <si>
    <t xml:space="preserve">688409</t>
  </si>
  <si>
    <t xml:space="preserve">富创精密</t>
  </si>
  <si>
    <t xml:space="preserve">证据强：2025年报披露公司为半导体设备精密零部件平台，覆盖金属结构件、腔体、管路、模组等，并推进静电卡盘等高价值产品；静电卡盘是重要升级方向但不是唯一主线，合并删减“静电卡盘”重复行。</t>
  </si>
  <si>
    <t xml:space="preserve">600584</t>
  </si>
  <si>
    <t xml:space="preserve">长电科技</t>
  </si>
  <si>
    <t xml:space="preserve">国内封测平台龙头，WLP、2.5D/3D、SiP、倒装等先进封装应用于AI和高性能计算；2025年先进封装收入创高，XDFOI光引擎完成客户样品交付并通过测试但仍属早期增量。主板块改为先进封装，CPO光电合封降级并入备注，风险是高端产能爬坡、客户放量节奏和利润率。证据A/B。</t>
  </si>
  <si>
    <t xml:space="preserve">碳化硅衬底</t>
  </si>
  <si>
    <t xml:space="preserve">688234</t>
  </si>
  <si>
    <t xml:space="preserve">天岳先进</t>
  </si>
  <si>
    <t xml:space="preserve">证据强：2025年报披露公司主营碳化硅衬底，导电型SiC衬底全球份额27.6%、8英寸份额51.3%；AI数据中心拉动SiC材料应用是中长期变量，但2025收入下滑并亏损，需跟踪价格和产能利用率。</t>
  </si>
  <si>
    <t xml:space="preserve">MLCC</t>
  </si>
  <si>
    <t xml:space="preserve">000636</t>
  </si>
  <si>
    <t xml:space="preserve">风华高科</t>
  </si>
  <si>
    <t xml:space="preserve">高端MLCC国产替代标的，2026-06-16 MLCC复核后定位为“watch+ / event_trade”：公司披露极限高容MLCC应用于AI服务器等领域，多个MLCC产品完成客户编码认定并批量交付，但已明确目前尚未直接供货英伟达。交易弹性高于基本面确定性，需跟踪AI服务器MLCC批量规模、涨价执行、客户编码数量和净利率改善。证据A/B。2026-06-16 JPM补充：报告强化AI server高端MLCC需求和低阶供给挤压，但海外锚主要是YAGEO/Murata/Samsung；风华仍按watch+ / event_trade处理，需验证AI服务器MLCC批量规模、涨价执行和客户编码。</t>
  </si>
  <si>
    <t xml:space="preserve">AI眼镜MicroLED微显示</t>
  </si>
  <si>
    <t xml:space="preserve">300323</t>
  </si>
  <si>
    <t xml:space="preserve">京东方华灿</t>
  </si>
  <si>
    <t xml:space="preserve">证据中：2025投资者关系记录披露MicroLED技术可用于具备显示功能的AI眼镜，公司配合不同客户需求提供解决方案并提升性能与良率；2025年报披露MicroLED技术研发及产业化项目推进高亮度、高对比度、高色彩饱和度芯片。主板块保留AI眼镜MicroLED微显示，风险是公司仍亏损，产业化和客户放量需跟踪。</t>
  </si>
  <si>
    <t xml:space="preserve">600522</t>
  </si>
  <si>
    <t xml:space="preserve">中天科技</t>
  </si>
  <si>
    <t xml:space="preserve">光纤光缆、特种光缆和通信网络平台，公开资料披露AI算力带动高性能特种光纤光缆需求，并有空芯光纤/数据中心互联进展；主板块由光纤细化为新型光纤，电力电缆删除为非本轮AI主线。风险是光纤价格周期、空芯光纤收入兑现和电力/海缆业务波动。证据A/B。</t>
  </si>
  <si>
    <t xml:space="preserve">002008</t>
  </si>
  <si>
    <t xml:space="preserve">大族激光</t>
  </si>
  <si>
    <t xml:space="preserve">激光装备平台，2025年报披露AI算力PCB是未来PCB产业主要方向，CCD六轴钻孔、CO2/新型激光钻孔等方案已完成下一代AI服务器PCB加工认证并在多家高多层板龙头量产；主板块保留PCB设备，需注意与大族数控业务重叠和集团平台口径，风险是PCB设备周期、新能源设备波动和费用投入。证据A。</t>
  </si>
  <si>
    <t xml:space="preserve">高速连接器</t>
  </si>
  <si>
    <t xml:space="preserve">301328</t>
  </si>
  <si>
    <t xml:space="preserve">维峰电子</t>
  </si>
  <si>
    <t xml:space="preserve">年报披露布局AI服务器、数据中心，并提供覆盖高速板端与高速线端的连接器研发生产；主板块由MCIO-SlimSAS改为高速连接器，现阶段AI收入纯度和客户仍需验证，风险是工控/汽车基本盘占比高。证据B。</t>
  </si>
  <si>
    <t xml:space="preserve">引线框架</t>
  </si>
  <si>
    <t xml:space="preserve">002119</t>
  </si>
  <si>
    <t xml:space="preserve">康强电子</t>
  </si>
  <si>
    <t xml:space="preserve">证据中：公司专业从事半导体封装材料引线框架、键合丝开发生产销售，2025年利润改善且深耕引线框架核心业务；属于传统封装材料国产供应链，和HBM/CoWoS等高端AI先进封装主线相关性偏弱。</t>
  </si>
  <si>
    <t xml:space="preserve">002837</t>
  </si>
  <si>
    <t xml:space="preserve">英维克</t>
  </si>
  <si>
    <t xml:space="preserve">Coolinside全链条液冷覆盖冷板、快接头、Manifold、CDU、机柜、管路、冷源和工质，并有Intel平台验证等公开线索；主板块保留数据中心液冷系统，液冷检测和冷源行并入备注，风险是大客户节奏、交付毛利和海外扩张。证据A。</t>
  </si>
  <si>
    <t xml:space="preserve">光纤级高纯石英材料</t>
  </si>
  <si>
    <t xml:space="preserve">603688</t>
  </si>
  <si>
    <t xml:space="preserve">石英股份</t>
  </si>
  <si>
    <t xml:space="preserve">光纤级套管、衬管、炉芯管、石英管棒等是光纤预制棒和拉丝核心辅材，公司在高纯石英砂和石英制品端均有布局，光纤预制棒产能利用率提升带动光纤用高纯石英材料需求。风险是半导体/光伏石英周期扰动、光纤收入占比和订单持续性披露不足。证据A/B。新增：2026-06-28 光纤上游补充。</t>
  </si>
  <si>
    <t xml:space="preserve">MicroLED芯片</t>
  </si>
  <si>
    <t xml:space="preserve">600703</t>
  </si>
  <si>
    <t xml:space="preserve">三安光电</t>
  </si>
  <si>
    <t xml:space="preserve">证据中强：2025年报披露Mini/Micro LED高端产品占比提升，Micro LED芯片在中大型显示增长，并切入AR眼镜、AI数据中心光互连等应用；删减“化合物半导体”重复行，SiC/GaN等平台能力在备注降级说明。</t>
  </si>
  <si>
    <t xml:space="preserve">机器人力传感器</t>
  </si>
  <si>
    <t xml:space="preserve">301413</t>
  </si>
  <si>
    <t xml:space="preserve">安培龙</t>
  </si>
  <si>
    <t xml:space="preserve">证据中：2025年报/投资者关系披露公司机器人力传感器包括单向力、力矩及六维力传感器，基于MEMS硅基应变片和玻璃微熔工艺的单向力及力矩传感器已开发完成并向多家机器人客户送样。主板块保留机器人力传感器，但公告提示相关收入占比仍低，六维力部分仍需验证批量订单。</t>
  </si>
  <si>
    <t xml:space="preserve">300602</t>
  </si>
  <si>
    <t xml:space="preserve">飞荣达</t>
  </si>
  <si>
    <t xml:space="preserve">热管理、电磁屏蔽和结构件平台，液冷板、热管/VC、散热模组、导热材料和EMI屏蔽可覆盖AI服务器散热与屏蔽一体化；主板块保留AI服务器散热材料，EMI屏蔽、AI服务器机柜和液冷管路并入备注，风险是液冷客户认证、项目毛利和消费电子/新能源业务拖累。证据B。</t>
  </si>
  <si>
    <t xml:space="preserve">300537</t>
  </si>
  <si>
    <t xml:space="preserve">广信材料</t>
  </si>
  <si>
    <t xml:space="preserve">感光材料平台，PCB阻焊油墨、湿膜/干膜光刻胶和电子材料是主线，AI高多层PCB图形精度提升带来材料升级观察；主板块由PCB湿化学改为PCB光刻胶，干膜并入备注，风险是高端PCB客户验证、国产替代进度和盈利修复。证据B/C。</t>
  </si>
  <si>
    <t xml:space="preserve">智能算力产品及服务</t>
  </si>
  <si>
    <t xml:space="preserve">300857</t>
  </si>
  <si>
    <t xml:space="preserve">协创数据</t>
  </si>
  <si>
    <t xml:space="preserve">证据强：2025年报披露智能算力产品及服务收入27.61亿元、同比增长1727.17%、占总收入22.57%，成为第二大收入支柱；原IDC标签不准确，改为智能算力产品及服务。</t>
  </si>
  <si>
    <t xml:space="preserve">以太网交换芯片</t>
  </si>
  <si>
    <t xml:space="preserve">688702</t>
  </si>
  <si>
    <t xml:space="preserve">盛科通信-U</t>
  </si>
  <si>
    <t xml:space="preserve">证据中强：2025年报披露公司主营以太网交换芯片及配套产品，交换芯片收入8.31亿元、占营收72.26%，交换机收入占比较低；删减“智算交换机”重复行，保留最能体现价值量的以太网交换芯片，风险是亏损扩大和高端产品放量节奏。</t>
  </si>
  <si>
    <t xml:space="preserve">AI眼镜声学传感器</t>
  </si>
  <si>
    <t xml:space="preserve">688286</t>
  </si>
  <si>
    <t xml:space="preserve">敏芯股份</t>
  </si>
  <si>
    <t xml:space="preserve">证据中：公司提质增效报告披露布局高信噪比、低功耗数字麦克风，部分型号已小批量出货，并布局应用于AI眼镜的骨传导声学传感器；删减“高信噪比数字麦克风”重复行，合并为AI眼镜声学传感器。风险是AI眼镜相关产品仍处研发/小批量阶段，收入贡献未充分披露。</t>
  </si>
  <si>
    <t xml:space="preserve">半导体工艺废气处理</t>
  </si>
  <si>
    <t xml:space="preserve">603324</t>
  </si>
  <si>
    <t xml:space="preserve">盛剑环境</t>
  </si>
  <si>
    <t xml:space="preserve">证据中：公开简称盛剑科技，2025年报显示公司围绕半导体等泛半导体客户提供工艺废气治理、湿电子化学品供应与绿色厂务系统服务；AI受益来自晶圆厂扩产和厂务环保配套，非芯片设备直接弹性。</t>
  </si>
  <si>
    <t xml:space="preserve">电子级玻纤</t>
  </si>
  <si>
    <t xml:space="preserve">600176</t>
  </si>
  <si>
    <t xml:space="preserve">中国巨石</t>
  </si>
  <si>
    <t xml:space="preserve">电子布销量规模大，低介电、低膨胀等特种电子布研发/认证推进；但公司主体仍是玻纤规模龙头，AI高端电子布收入占比和客户硬证据弱于纯标的，主板块由低介电电子布降为电子级玻纤。证据B。</t>
  </si>
  <si>
    <t xml:space="preserve">HBM BI</t>
  </si>
  <si>
    <t xml:space="preserve">300567</t>
  </si>
  <si>
    <t xml:space="preserve">精测电子</t>
  </si>
  <si>
    <t xml:space="preserve">检测设备平台，2025年报摘要披露推出JH5520 HBM BI测试系统以满足HBM高端存储测试需求，半导体量检测覆盖前道、后道电测和先进封装；主板块改为HBM BI，PCB AOI、半导体量测和先进封装X-Ray并入备注，风险是半导体业务收入占比、客户认证和设备订单兑现。证据A/B。</t>
  </si>
  <si>
    <t xml:space="preserve">AI服务器功率器件</t>
  </si>
  <si>
    <t xml:space="preserve">605111</t>
  </si>
  <si>
    <t xml:space="preserve">新洁能</t>
  </si>
  <si>
    <t xml:space="preserve">证据中强：2025年报披露MOSFET/IGBT/SiC可用于AI服务器及数据中心PSU、VRM、HVDC、SST等关键环节，功率器件平台较全；未见明确客户或订单，主板块由泛功率半导体收敛为AI服务器功率器件。</t>
  </si>
  <si>
    <t xml:space="preserve">688368</t>
  </si>
  <si>
    <t xml:space="preserve">晶丰明源</t>
  </si>
  <si>
    <t xml:space="preserve">证据强：2025年报明确大电流降压型DC/DC、负载点电源应用于AI数据中心、AIC显卡和服务器，并指出数字多相控制器与DrMOS是AI服务器供电系统标配；保留多相DC-DC主线。</t>
  </si>
  <si>
    <t xml:space="preserve">688106</t>
  </si>
  <si>
    <t xml:space="preserve">金宏气体</t>
  </si>
  <si>
    <t xml:space="preserve">证据中强：2025年报披露电子特种气体国内市占率约2.81%，电子大宗载气提纯、现场制气及多个半导体/显示项目持续导入；但公司2025年增收不增利、应收较高，主板块由单一电子特气扩为半导体电子气体。</t>
  </si>
  <si>
    <t xml:space="preserve">先进封装材料</t>
  </si>
  <si>
    <t xml:space="preserve">300398</t>
  </si>
  <si>
    <t xml:space="preserve">飞凯材料</t>
  </si>
  <si>
    <t xml:space="preserve">证据中强：2025年报披露半导体材料覆盖锡球、环氧塑封料、光刻胶、湿电子化学品等，先进封装Fan-out键合胶多款产品进入量产/客户验证，厚膜负性光刻胶适配2.5D/3D先进封装；合并Die Attach、封装胶、临时键合胶、半导体光刻胶重复行。</t>
  </si>
  <si>
    <t xml:space="preserve">电子封装载带</t>
  </si>
  <si>
    <t xml:space="preserve">002859</t>
  </si>
  <si>
    <t xml:space="preserve">洁美科技</t>
  </si>
  <si>
    <t xml:space="preserve">证据中：主营纸质/塑料载带、电子胶带、离型膜、IC-tray等电子封装材料，2025年报显示电子封装材料库存下降、电子级薄膜和IC-tray备货增长；AI相关性偏电子元器件和半导体封装耗材补链，直接度低于先进封装。</t>
  </si>
  <si>
    <t xml:space="preserve">002851</t>
  </si>
  <si>
    <t xml:space="preserve">麦格米特</t>
  </si>
  <si>
    <t xml:space="preserve">电力电子平台，2026-06-16 800VDC复核后定位为“watch+ / catalyst_watch”：NVIDIA官方800VDC生态中可确认位于Power system components，公司年报/IR有推荐提供商、800VDC/SST/Sidecar/Power Shelf产品体系、小批量送测/试产和部分北美项目线索；但不能证明NVIDIA或Google直采订单。主板块保留数据中心电源，风险是AI电源研发投入、800VDC规模收入、订单金额、收入占比、毛利率和交付节奏兑现。证据A/B/C。</t>
  </si>
  <si>
    <t xml:space="preserve">精密磨削设备</t>
  </si>
  <si>
    <t xml:space="preserve">002903</t>
  </si>
  <si>
    <t xml:space="preserve">宇环数控</t>
  </si>
  <si>
    <t xml:space="preserve">证据弱中：2025年报显示公司主业仍为数控磨削抛光设备，全年亏损；晶圆减薄属于潜在高精密磨削应用，但半导体客户、订单和收入证据不足，原晶圆减薄降级为精密磨削设备并保留观察。</t>
  </si>
  <si>
    <t xml:space="preserve">光模块控制芯片</t>
  </si>
  <si>
    <t xml:space="preserve">300661</t>
  </si>
  <si>
    <t xml:space="preserve">圣邦股份</t>
  </si>
  <si>
    <t xml:space="preserve">SGM41290为硅光控制场景偏置与监控管理电路，集成多通道VDAC/IDAC和监测IO；主板块保留光模块控制芯片，APD偏置、TEC、电源管理、电源轨监控和eFuse降级并入模拟芯片平台备注，风险是光模块收入占比和客户认证不透明。证据B。</t>
  </si>
  <si>
    <t xml:space="preserve">半导体工艺温控</t>
  </si>
  <si>
    <t xml:space="preserve">688652</t>
  </si>
  <si>
    <t xml:space="preserve">京仪装备</t>
  </si>
  <si>
    <t xml:space="preserve">证据强：2025年报披露公司主营半导体专用温控设备，产品覆盖刻蚀、薄膜沉积、离子注入、清洗等核心制程，主要客户为国内头部晶圆厂和设备厂；工艺废气处理和AMHS为业务外延，合并进备注并删除重复行。</t>
  </si>
  <si>
    <t xml:space="preserve">半导体光掩膜版</t>
  </si>
  <si>
    <t xml:space="preserve">688401</t>
  </si>
  <si>
    <t xml:space="preserve">路维光电</t>
  </si>
  <si>
    <t xml:space="preserve">证据中强：2025年报披露公司平板显示与半导体掩膜版增长，G11、HTM、PSM等高端产品推进，AI算力、先进封装、AMOLED、Micro-LED等新兴领域带动高精度掩膜版需求；半导体占比仍需跟踪，主板块由泛光掩膜版收敛为高端掩膜版。</t>
  </si>
  <si>
    <t xml:space="preserve">光通信测试仪表</t>
  </si>
  <si>
    <t xml:space="preserve">688628</t>
  </si>
  <si>
    <t xml:space="preserve">优利德</t>
  </si>
  <si>
    <t xml:space="preserve">综合测试测量仪表平台，2026年公告拟收购信测通信51%股权，标的主营光网络建设维护、光功率计、光时域反射仪、光纤熔接机和电磁监测等，补齐光通信测试产品线；主板块收窄为光通信测试仪表，高速光模块产线测试证据不足，风险是收购落地、并表贡献和高端仪器能力验证。证据B/C。</t>
  </si>
  <si>
    <t xml:space="preserve">002138</t>
  </si>
  <si>
    <t xml:space="preserve">顺络电子</t>
  </si>
  <si>
    <t xml:space="preserve">证据中强：2025半年报/公开资料披露AI、数据中心等战略市场持续高增长，数据中心订单显著增长，公司推出超薄钽电容、铜磁共烧电感等AI服务器/GPU垂直供电相关产品；删减MLCC重复行。</t>
  </si>
  <si>
    <t xml:space="preserve">先进封装塑封料</t>
  </si>
  <si>
    <t xml:space="preserve">688535</t>
  </si>
  <si>
    <t xml:space="preserve">华海诚科</t>
  </si>
  <si>
    <t xml:space="preserve">证据强：2025年报披露公司主营环氧塑封料和电子胶黏剂，先进封装用颗粒状环氧塑封料、FC底填胶、液态塑封料等是重点，FOWLP/FOPLP颗粒料装备与产业化推进明确；合并Die Attach、封装胶、临时键合胶重复行。</t>
  </si>
  <si>
    <t xml:space="preserve">行业AI交付</t>
  </si>
  <si>
    <t xml:space="preserve">002649</t>
  </si>
  <si>
    <t xml:space="preserve">博彦科技</t>
  </si>
  <si>
    <t xml:space="preserve">证据中强：2025年报披露公司以AI、大数据为技术底座，依托人工智能计算平台和AI Agent平台，在金融、能源、化工等行业提供AI咨询、解决方案、实施与运营；AI中台是能力底座，合并到行业AI交付。</t>
  </si>
  <si>
    <t xml:space="preserve">浸没式液冷冷却液</t>
  </si>
  <si>
    <t xml:space="preserve">002407</t>
  </si>
  <si>
    <t xml:space="preserve">多氟多</t>
  </si>
  <si>
    <t xml:space="preserve">氟化工、电子信息材料和新能源材料平台，年报披露高性能无机氟化物、电子信息材料及半导体级氢氟酸产能，但未见数据中心浸没冷却液客户、订单或收入披露；主板块暂保留浸没式液冷冷却液作材料端观察，真实受益弱于已有冷却液产品证据更强的公司，风险是冷却液产品化、客户验证和锂电材料周期。证据C。</t>
  </si>
  <si>
    <t xml:space="preserve">002185</t>
  </si>
  <si>
    <t xml:space="preserve">华天科技</t>
  </si>
  <si>
    <t xml:space="preserve">证据中强：主营集成电路封测，已掌握SiP、FC、TSV、Bumping、FO、WLP、PLP、2.5D/3D等先进封装技术，并披露聚焦国内CPU/GPU客户；AI映射成立，但高端AI封装纯度和盈利弹性弱于头部绑定客户公司。</t>
  </si>
  <si>
    <t xml:space="preserve">300499</t>
  </si>
  <si>
    <t xml:space="preserve">高澜股份</t>
  </si>
  <si>
    <t xml:space="preserve">信息与通信液冷产品覆盖冷板、流体连接部件、CDU、TANK和换热单元，已形成冷板式和浸没式解决方案并具备批量供货能力；主板块保留数据中心液冷系统，风险是AIDC订单兑现、客户集中和盈利修复。证据A。</t>
  </si>
  <si>
    <t xml:space="preserve">688138</t>
  </si>
  <si>
    <t xml:space="preserve">清溢光电</t>
  </si>
  <si>
    <t xml:space="preserve">证据中：2025年报显示公司主要从事掩膜版研发、设计、生产和销售，产品用于平板显示、半导体芯片、触控和电路板等；半导体国产替代和AI带动晶圆产能扩张构成间接受益，收入仍较依赖显示与综合掩膜版需求。</t>
  </si>
  <si>
    <t xml:space="preserve">IGBT/SiC功率模块</t>
  </si>
  <si>
    <t xml:space="preserve">688711</t>
  </si>
  <si>
    <t xml:space="preserve">宏微科技</t>
  </si>
  <si>
    <t xml:space="preserve">证据中：2025年报披露公司稳固硅基IGBT/FRD基本盘，同时推进SiC、GaN量产转化，下游覆盖工业控制、新能源汽车、AI服务器电源等；AI链受益更多是电源功率器件增量，直接订单证据仍不足。</t>
  </si>
  <si>
    <t xml:space="preserve">光刻胶上游材料</t>
  </si>
  <si>
    <t xml:space="preserve">300429</t>
  </si>
  <si>
    <t xml:space="preserve">强力新材</t>
  </si>
  <si>
    <t xml:space="preserve">公司核心是PCB/LCD/半导体光刻胶光引发剂等电子材料，PSPI先进封装材料项目提供AI先进封装可选弹性；主板块由干膜改为光刻胶上游材料，PSPI并入备注，先进封装电镀液证据不足降级删除。风险是PSPI量产节奏、库存减值、下游竞争和盈利修复。证据B/C。</t>
  </si>
  <si>
    <t xml:space="preserve">SiC功率器件</t>
  </si>
  <si>
    <t xml:space="preserve">300373</t>
  </si>
  <si>
    <t xml:space="preserve">扬杰科技</t>
  </si>
  <si>
    <t xml:space="preserve">证据中强：2025年报披露公司覆盖材料、晶圆、封装及硅基/碳化硅功率器件，SiC芯片工厂推进650V-1700V产品迭代，产品应用含汽车电子、AI数据中心、5G通信；主线从泛功率半导体收敛为SiC功率器件。</t>
  </si>
  <si>
    <t xml:space="preserve">688112</t>
  </si>
  <si>
    <t xml:space="preserve">鼎阳科技</t>
  </si>
  <si>
    <t xml:space="preserve">电子测试测量仪器平台，产品包括示波器、信号发生器、频谱分析仪、矢量网络分析仪等；年报和交流材料显示相关产品可用于光模块、高速连接器等数据中心基础设施研发与生产测试。主板块保留光模块高速测试仪表，风险是多为通用仪器、专用BERT/采样示波器能力和客户订单披露不足。证据B/C。</t>
  </si>
  <si>
    <t xml:space="preserve">MCIO-SlimSAS</t>
  </si>
  <si>
    <t xml:space="preserve">300843</t>
  </si>
  <si>
    <t xml:space="preserve">胜蓝股份</t>
  </si>
  <si>
    <t xml:space="preserve">数据通讯类连接器包括MCIO、Mini SAS HD、Slim SAS、SFP等，应用于路由器、服务器等通讯设备，受AI数据中心内部互连需求拉动；主板块保留MCIO-SlimSAS，风险是业务体量仍小、客户结构和消费电子基本盘波动。证据A/B。</t>
  </si>
  <si>
    <t xml:space="preserve">688372</t>
  </si>
  <si>
    <t xml:space="preserve">伟测科技</t>
  </si>
  <si>
    <t xml:space="preserve">证据强：2025年报明确公司聚焦中高端晶圆及成品测试，拓展高算力产品测试，服务CPU/GPU/AI/FPGA、SoC/Chiplet/SiP等测试需求，并披露TSV工艺高性能AI产品整体测试方案研发；主板块由泛半导体测试收敛为高算力芯片测试服务。</t>
  </si>
  <si>
    <t xml:space="preserve">600460</t>
  </si>
  <si>
    <t xml:space="preserve">士兰微</t>
  </si>
  <si>
    <t xml:space="preserve">证据中强：2025年报披露服务器DrMOS、Efuse和多项控制器电路已在客户端测试或导入量产，公司IDM平台和功率/电源管理能力支撑该节点；由泛功率半导体收敛为服务器电源管理芯片。</t>
  </si>
  <si>
    <t xml:space="preserve">AI服务器超级电容</t>
  </si>
  <si>
    <t xml:space="preserve">002484</t>
  </si>
  <si>
    <t xml:space="preserve">江海股份</t>
  </si>
  <si>
    <t xml:space="preserve">证据中：公司公告披露超级电容/MLPC在AI服务器电源端应用仍小，2026Q1 AI服务器电源应用约1200万元；原高可靠钽电容不贴合主业，改为AI服务器超级电容，处早期放量。</t>
  </si>
  <si>
    <t xml:space="preserve">301489</t>
  </si>
  <si>
    <t xml:space="preserve">思泉新材</t>
  </si>
  <si>
    <t xml:space="preserve">热管理材料和散热组件公司，公开资料披露拓展AI服务器、光模块等场景，并布局高导热界面材料、冷板、Manifold、CDU等方向；主板块保留AI服务器散热材料，光模块散热并入备注，当前仍偏导入/样品和产线建设，风险是量产订单、客户集中和收入兑现。证据B/C。</t>
  </si>
  <si>
    <t xml:space="preserve">算力服务器结构件</t>
  </si>
  <si>
    <t xml:space="preserve">002965</t>
  </si>
  <si>
    <t xml:space="preserve">祥鑫科技</t>
  </si>
  <si>
    <t xml:space="preserve">证据中弱：2025年报披露公司在通信设备领域可供应通讯插箱、交换机箱、算力服务器等产品和服务，但汽车业务仍占收入主体且净利润下滑；主板块由AI服务器机柜收敛为算力服务器结构件，AI订单强度需继续验证。</t>
  </si>
  <si>
    <t xml:space="preserve">688733</t>
  </si>
  <si>
    <t xml:space="preserve">壹石通</t>
  </si>
  <si>
    <t xml:space="preserve">电子功能粉体材料方向中，Low-alpha球形氧化铝面向高端芯片封装，可满足高算力芯片散热和低α射线需求；2025年披露仍在多批次客户验证和样品级销售阶段。主板块保留高端封装填料但证据弱于联瑞，风险是客户导入、规模收入和新能源材料主业波动。证据B/C。 2026-06-28 光纤上游补充：人工合成高纯石英砂/高纯二氧化硅处客户验证和小批量预期阶段，可作光纤级/半导体级高纯材料国产替代watch；当前证据弱于已量产石英套管、炉芯管供应商，需跟踪客户认证和实际出货。</t>
  </si>
  <si>
    <t xml:space="preserve">300655</t>
  </si>
  <si>
    <t xml:space="preserve">晶瑞电材</t>
  </si>
  <si>
    <t xml:space="preserve">证据中强：2025年报显示公司扭亏并净利润大幅增长，业绩改善主要来自高纯湿化学品量价齐升，光刻胶业务稳健发展且KrF产品已有订单；原半导体光刻胶标签偏窄，收敛为更能解释业绩的高纯湿电子化学品。</t>
  </si>
  <si>
    <t xml:space="preserve">机器人谐波减速器</t>
  </si>
  <si>
    <t xml:space="preserve">688017</t>
  </si>
  <si>
    <t xml:space="preserve">绿的谐波</t>
  </si>
  <si>
    <t xml:space="preserve">证据强：2025年报披露公司巩固具身智能场景谐波减速器领先地位，并围绕轻量化、微型化、低噪音、精度、刚性和寿命持续攻关；同时突破行星滚柱丝杠规模化制造并扩展直线伺服关节。主板块从泛机器人执行器收敛为机器人谐波减速器，丝杠和机电一体化作为增量能力跟踪。</t>
  </si>
  <si>
    <t xml:space="preserve">高可靠钽电容</t>
  </si>
  <si>
    <t xml:space="preserve">300726</t>
  </si>
  <si>
    <t xml:space="preserve">宏达电子</t>
  </si>
  <si>
    <t xml:space="preserve">证据中强：2025年报及公开披露显示高可靠电子元器件为基本盘，民品收入高增，民用钽电容进入国产服务器供应链并在AI服务器、数据中心批量应用；保留高可靠钽电容。</t>
  </si>
  <si>
    <t xml:space="preserve">数据中心液冷泵</t>
  </si>
  <si>
    <t xml:space="preserve">002536</t>
  </si>
  <si>
    <t xml:space="preserve">飞龙股份</t>
  </si>
  <si>
    <t xml:space="preserve">定位：汽车热管理主业＋数据中心液冷泵小批量期权。2025年传统发动机热管理两类收入合计82.91%；“新能源汽车及民用液冷”合并收入6.73亿元、毛利率15.61%，不可当作AI液冷收入。公司称电子液冷泵/温控阀已供货，并通过日本、台湾伙伴获得匿名N/W/G项目，但客户名称、终端、订单额和北美属性均未披露，不能认定为NVIDIA、Google或北美AI液冷链。2026H1预告归母净利0.68—0.80亿元，同比下降61.98%—67.69%，并明确液冷仅个别客户部分项目小批量落地、收入占比低、对业绩影响很小。按2026-07-22收盘48.05元及预告更新TTM利润测算，PE约148—158倍，当前估值主要交易液冷预期。风险：汽车降价、汇率/关税、原料上涨、客户集中、液冷放量不及预期及股东减持。证据分层：产品与小批量订单A；匿名终端/北美AI链C；规模收入未兑现。来源：2025年报、2026H1业绩预告、2026-06-25异动公告、2026-03-27业绩说明会。</t>
  </si>
  <si>
    <t xml:space="preserve">688721</t>
  </si>
  <si>
    <t xml:space="preserve">龙图光罩</t>
  </si>
  <si>
    <t xml:space="preserve">证据中强：2025年报披露公司聚焦半导体掩模版，高端制程及关键客户开发持续推进、珠海工厂投产爬坡；但2025年净利润明显下滑，竞争、折旧和研发费用压制弹性，主板块保留半导体光掩膜版。</t>
  </si>
  <si>
    <t xml:space="preserve">688337</t>
  </si>
  <si>
    <t xml:space="preserve">普源精电</t>
  </si>
  <si>
    <t xml:space="preserve">RIGOL电子测量仪器平台，核心产品覆盖数字示波器、微波射频、直流精密和模块化仪器，并提供通信等行业解决方案；2025年光通信领域核心大客户收入高增，说明光通信测试已进入业绩拉动。主板块保留光模块高速测试仪表，风险是毛利率压力、解决方案项目波动和高端仪器国产替代竞争。证据B。</t>
  </si>
  <si>
    <t xml:space="preserve">以太网PHY-交换芯片</t>
  </si>
  <si>
    <t xml:space="preserve">688515</t>
  </si>
  <si>
    <t xml:space="preserve">裕太微</t>
  </si>
  <si>
    <t xml:space="preserve">证据中：2025年报披露公司专注高速有线通信芯片，网通PHY、交换机芯片、网卡芯片已规模量产，网通类产品销量约1.4亿颗，并向数据中心与基站等高价值场景延伸；AI数据中心直接收入仍需跟踪。</t>
  </si>
  <si>
    <t xml:space="preserve">DDR5 SPD</t>
  </si>
  <si>
    <t xml:space="preserve">688123</t>
  </si>
  <si>
    <t xml:space="preserve">聚辰股份</t>
  </si>
  <si>
    <t xml:space="preserve">公司具备DDR2/3/4/5内存模组配套SPD、TS等芯片产品，DDR5 SPD受益AI服务器内存模组数量提升，是明确的小芯片弹性节点；主板块保留DDR5 SPD，SOCAMM作为下游内存模组形态并入备注，不单列。风险是DDR5渗透节奏、客户导入、EEPROM周期和价格竞争。证据A。</t>
  </si>
  <si>
    <t xml:space="preserve">AI存储</t>
  </si>
  <si>
    <t xml:space="preserve">300302</t>
  </si>
  <si>
    <t xml:space="preserve">同有科技</t>
  </si>
  <si>
    <t xml:space="preserve">证据强：2025年报披露高端存储在AI智算中心、高性能计算等核心场景推进，NVMe/RDMA高性能分布式文件存储用于智算领域高并发、低延迟需求；主板块保留AI存储，跟踪标杆方案复制、国产化替代和毛利率。</t>
  </si>
  <si>
    <t xml:space="preserve">MLCC材料</t>
  </si>
  <si>
    <t xml:space="preserve">300285</t>
  </si>
  <si>
    <t xml:space="preserve">国瓷材料</t>
  </si>
  <si>
    <t xml:space="preserve">电子陶瓷材料平台，年报披露重点聚焦AI服务器及车规用MLCC介质粉体，并推进扩产，部分新产品在核心客户取得突破；覆铜板填充材料和光模块陶瓷基板也可观察，但AI链条最清晰的是MLCC介质粉体。主板块由高端封装填料改为MLCC材料，风险是MLCC景气、客户认证和利润弹性偏稳。证据A/B。</t>
  </si>
  <si>
    <t xml:space="preserve">300657</t>
  </si>
  <si>
    <t xml:space="preserve">弘信电子</t>
  </si>
  <si>
    <t xml:space="preserve">液冷漏液监测FPC应用方案取得头部AI算力服务器散热客户订单并量产出货，是FPC主业在AI服务器液冷监测小件上的直接映射；主板块保留液冷检测，AI眼镜、具身智能和AI服务器FPC并入备注，风险是单品价值量、客户集中和持续订单。证据A/B。</t>
  </si>
  <si>
    <t xml:space="preserve">688200</t>
  </si>
  <si>
    <t xml:space="preserve">华峰测控</t>
  </si>
  <si>
    <t xml:space="preserve">证据中强：2025年报披露公司主营半导体自动化测试系统，收入和利润高增；AI相关弹性主要来自SoC/混合信号等高端测试平台放量与国产替代，现阶段仍以测试设备主业为核心，不单列为AI专用设备。</t>
  </si>
  <si>
    <t xml:space="preserve">芯片定制设计服务</t>
  </si>
  <si>
    <t xml:space="preserve">688691</t>
  </si>
  <si>
    <t xml:space="preserve">灿芯股份</t>
  </si>
  <si>
    <t xml:space="preserve">证据中弱：2025年报显示公司为一站式芯片定制服务企业，芯片设计业务和流片项目有所恢复，但全年收入下降、归母亏损1.1亿元；未见Chiplet-UCIe成为核心收入或订单主线，故由Chiplet-UCIe降级为芯片定制设计服务。</t>
  </si>
  <si>
    <t xml:space="preserve">002156</t>
  </si>
  <si>
    <t xml:space="preserve">通富微电</t>
  </si>
  <si>
    <t xml:space="preserve">证据强：封测平台绑定AMD等高性能计算客户，年报披露chiplet高密度封装研发产业化、FCBGA等先进封装能力，AI/数据中心需求带动中高端产品收入；跟踪先进封装产能利用率、折旧压力和大客户集中度。</t>
  </si>
  <si>
    <t xml:space="preserve">300408</t>
  </si>
  <si>
    <t xml:space="preserve">三环集团</t>
  </si>
  <si>
    <t xml:space="preserve">电子陶瓷材料平台，2026-06-16 MLCC复核后定位为AI server高端MLCC“main_candidate / 主受益候选”：年报披露数据中心领域多尺寸高容MLCC和48V电源系统高容MLCC，2026Q1盈利质量较强，光通信陶瓷件也有增量。风险是未披露AI server客户名单、具体高端MLCC ASP涨价、AI server收入拆分，估值已反映部分景气。证据A/B。2026-06-16 JPM补充：报告估算AI server MLCC TAM 150%+ CAGR，并指出高端MLCC产能消耗会挤压低阶/中阶供给；三环仍需用高容/高压/高可靠MLCC客户、ASP、收入占比和毛利率验证。</t>
  </si>
  <si>
    <t xml:space="preserve">002782</t>
  </si>
  <si>
    <t xml:space="preserve">可立克</t>
  </si>
  <si>
    <t xml:space="preserve">证据中：2025年报披露磁性元件用于AI服务器电源等领域，磁性元件收入占比高，业绩增长较快；数据中心领域已有多款磁性元件量产并研发5.5kW/8.5kW高功率密度产品，需继续跟踪AI客户占比。</t>
  </si>
  <si>
    <t xml:space="preserve">002384</t>
  </si>
  <si>
    <t xml:space="preserve">东山精密</t>
  </si>
  <si>
    <t xml:space="preserve">通过收购索尔思切入光模块（含光芯片），年报确认100G/200G PAM4 EML与10G-1.6T模块矩阵，同时有AI PCB协同；主板块由光芯片降为高速光模块，AI PCB放备注跟踪，风险是并购整合、负债和客户放量节奏。证据A。</t>
  </si>
  <si>
    <t xml:space="preserve">AI服务器隔离驱动芯片</t>
  </si>
  <si>
    <t xml:space="preserve">688052</t>
  </si>
  <si>
    <t xml:space="preserve">纳芯微</t>
  </si>
  <si>
    <t xml:space="preserve">证据强：2025年报/点评显示AI服务器电源需求带动公司高压GaN驱动、隔离芯片、MCU等批量发货或量产突破；数字隔离和电流传感更多为汽车/工业通用能力，合并删减重复行。</t>
  </si>
  <si>
    <t xml:space="preserve">数据中心配电母线</t>
  </si>
  <si>
    <t xml:space="preserve">688226</t>
  </si>
  <si>
    <t xml:space="preserve">威腾电气</t>
  </si>
  <si>
    <t xml:space="preserve">证据中：2025年报及再融资材料披露公司以低压母线为核心，产品应用于数据中心等场所，并推进数据中心相关电源模块、机柜和列头柜认证；但2025利润大幅下滑，保留数据中心配电母线并降低盈利确定性。</t>
  </si>
  <si>
    <t xml:space="preserve">AI眼镜光学模组</t>
  </si>
  <si>
    <t xml:space="preserve">300433</t>
  </si>
  <si>
    <t xml:space="preserve">蓝思科技</t>
  </si>
  <si>
    <t xml:space="preserve">证据强：2025年报披露公司是AI硬件全产业链一站式精密制造解决方案提供商，AI眼镜领域具备材料、光学、结构件到整机组装全栈能力，已实现国内头部客户整机组装和海外头部客户精密零组件规模化交付，并在光波导镜片高精度自动化组装等领域突破；主板块从AI眼镜光波导扩展为AI眼镜光学模组。</t>
  </si>
  <si>
    <t xml:space="preserve">电路仿真EDA</t>
  </si>
  <si>
    <t xml:space="preserve">688206</t>
  </si>
  <si>
    <t xml:space="preserve">概伦电子</t>
  </si>
  <si>
    <t xml:space="preserve">证据中强：2025年报显示公司主营EDA软件及解决方案，核心围绕器件建模、SPICE/FastSPICE仿真和设计-工艺协同优化，境内主营收入增长；PDK/PCell属于同一EDA能力链，合并删减重复行。</t>
  </si>
  <si>
    <t xml:space="preserve">高压直流继电器</t>
  </si>
  <si>
    <t xml:space="preserve">300932</t>
  </si>
  <si>
    <t xml:space="preserve">三友联众</t>
  </si>
  <si>
    <t xml:space="preserve">证据中：2025年报显示公司主业为继电器，产品用于新能源、光伏、AI算力数据中心等领域，并推进高压直流继电器研发和应用覆盖；但AI数据中心客户、订单和收入未单列，主板块保留高压直流继电器并降级为场景弹性。</t>
  </si>
  <si>
    <t xml:space="preserve">688449</t>
  </si>
  <si>
    <t xml:space="preserve">联芸科技</t>
  </si>
  <si>
    <t xml:space="preserve">证据强：2025年报披露SSD主控覆盖SATA、PCIe3.0/4.0/5.0，企业级PCIe Gen5 SSD主控已进入量产测试阶段，并规划PCIe Gen6/Gen7切入数据中心；删减UFS主控重复行，UFS偏终端嵌入式，AI算力弹性以企业级SSD主控为主。</t>
  </si>
  <si>
    <t xml:space="preserve">储能消防</t>
  </si>
  <si>
    <t xml:space="preserve">300902</t>
  </si>
  <si>
    <t xml:space="preserve">国安达</t>
  </si>
  <si>
    <t xml:space="preserve">公司核心业务更集中在储能消防、电力电网消防和交通运输消防，储能消防收入近年快速增长；公开资料显示新型能源消防方案可应用于数据中心/算力中心，并推进消防与液冷融合方案，数据中心仍偏延伸场景。主板块由数据中心消防改为储能消防，数据中心消防降级并入备注。风险是数据中心收入占比不明、储能消防价格竞争、客户集中和新业务投入。证据B/C。</t>
  </si>
  <si>
    <t xml:space="preserve">688126</t>
  </si>
  <si>
    <t xml:space="preserve">沪硅产业</t>
  </si>
  <si>
    <t xml:space="preserve">主要产品为300mm及以下半导体硅片和SOI硅片，300mm硅片是收入增长核心并覆盖逻辑、存储等高端应用；SOI硅光材料已向射频、功率和硅光客户送样但仍处验证/导入阶段。主板块改为晶圆硅片，SOI硅光衬底并入备注作为高端材料观察，风险是硅片价格竞争、产能爬坡费用和盈利承压。证据B。</t>
  </si>
  <si>
    <t xml:space="preserve">300990</t>
  </si>
  <si>
    <t xml:space="preserve">同飞股份</t>
  </si>
  <si>
    <t xml:space="preserve">数据中心液冷方案覆盖CDU、Manifold、预制化管路、室外干冷器、集成冷站及浸没液冷箱体TANK，属于从工业温控切入AIDC液冷系统的直接映射；主板块保留数据中心液冷系统，背板空调和风墙作为过渡末端并入备注，风险是数据中心收入占比、订单连续性和项目毛利。证据A/B。</t>
  </si>
  <si>
    <t xml:space="preserve">数据中心液冷管路</t>
  </si>
  <si>
    <t xml:space="preserve">300547</t>
  </si>
  <si>
    <t xml:space="preserve">川环科技</t>
  </si>
  <si>
    <t xml:space="preserve">证据中：2025年报披露AI大模型提升数据中心散热需求，公司液冷服务器管路达V0并获UL认证、进入多家供应商体系；仍以汽车管路为基本盘，保留数据中心液冷管路并提示放量节奏待验证。</t>
  </si>
  <si>
    <t xml:space="preserve">晶圆探针台</t>
  </si>
  <si>
    <t xml:space="preserve">301629</t>
  </si>
  <si>
    <t xml:space="preserve">矽电股份</t>
  </si>
  <si>
    <t xml:space="preserve">证据强：2025年报披露公司是中国大陆首家实现12英寸晶圆探针台产业化应用的厂商，产品面向SOC、Memory、CIS、功率器件等测试领域；AI/HBM是行业需求驱动而非已披露专用探针收入，原“HBM测试探针”修正为晶圆探针台。</t>
  </si>
  <si>
    <t xml:space="preserve">300054</t>
  </si>
  <si>
    <t xml:space="preserve">鼎龙股份</t>
  </si>
  <si>
    <t xml:space="preserve">证据中：2025年报披露半导体先进封装材料中封装PI、临时键合胶2025年实现销售放量、收入1176万元，主流封测厂和晶圆厂验证导入深化；显示PSPI收入更大但AI链条较间接，合并PSPI、临时键合胶、RDL-Bumping等重复行。</t>
  </si>
  <si>
    <t xml:space="preserve">AR投影光机</t>
  </si>
  <si>
    <t xml:space="preserve">688010</t>
  </si>
  <si>
    <t xml:space="preserve">福光股份</t>
  </si>
  <si>
    <t xml:space="preserve">证据中：2025年报披露公司主营特种及民用光学镜头、光电系统和光学元组件，研发项目中M003 MicroLED AR显示模组处于产业化推广，应用于AR领域；投影光机可用于AR/可穿戴设备。主板块保留AR投影光机，但AI眼镜收入纯度和客户放量仍需继续验证，扣非盈利仍承压。</t>
  </si>
  <si>
    <t xml:space="preserve">中文数据语料</t>
  </si>
  <si>
    <t xml:space="preserve">688228</t>
  </si>
  <si>
    <t xml:space="preserve">开普云</t>
  </si>
  <si>
    <t xml:space="preserve">证据中：2025年报披露公司积累PB级数据并参与中文互联网基础语料3.0，专题数据语料平台仍处产品开发阶段；AI链逻辑存在，但商业化确定性低于成熟软件/SaaS。</t>
  </si>
  <si>
    <t xml:space="preserve">服务器电源MOSFET</t>
  </si>
  <si>
    <t xml:space="preserve">688261</t>
  </si>
  <si>
    <t xml:space="preserve">东微半导</t>
  </si>
  <si>
    <t xml:space="preserve">证据强：2025年报摘要及披露材料显示公司超级结MOSFET等用于服务器、通信和基站电源，导入维谛、台达、超聚变、欧陆通等客户，算力服务器电源相关产品逐步量产；主板块收敛为服务器电源MOSFET。</t>
  </si>
  <si>
    <t xml:space="preserve">002364</t>
  </si>
  <si>
    <t xml:space="preserve">中恒电气</t>
  </si>
  <si>
    <t xml:space="preserve">数据中心电源产品矩阵覆盖HVDC 240V/336V/800V、Panama 240V/400V/800V、中低压配电、精密配电和服务器PSU，深度适配通用计算、AI与超算；年报披露阿里巴巴、腾讯等机房电源系统项目。主板块保留数据中心电源，STS/ATS并入备注，风险是订单交付、净利波动和海外拓展。证据A。</t>
  </si>
  <si>
    <t xml:space="preserve">688536</t>
  </si>
  <si>
    <t xml:space="preserve">思瑞浦</t>
  </si>
  <si>
    <t xml:space="preserve">半年报披露光模块控制芯片用于激光器/调制器电压电流偏置和监控，提供EML、硅光方案所需DAC/ADC，支持400G、800G、1.6T光模块；主板块保留光模块控制芯片，电源管理、轨监控、隔离、BBU和eFuse并入备注，风险是出货规模和客户导入。证据A。</t>
  </si>
  <si>
    <t xml:space="preserve">半导体洁净室</t>
  </si>
  <si>
    <t xml:space="preserve">603163</t>
  </si>
  <si>
    <t xml:space="preserve">圣晖集成</t>
  </si>
  <si>
    <t xml:space="preserve">证据强：2025年报显示公司继续专注洁净室系统集成工程，覆盖设计、采购、施工和维护全链条，主要客户集中在半导体、电子等高科技行业，营收和利润高增；AI受益路径来自晶圆厂/先进封装/存储扩产的厂务资本开支。</t>
  </si>
  <si>
    <t xml:space="preserve">特色工艺晶圆代工</t>
  </si>
  <si>
    <t xml:space="preserve">688347</t>
  </si>
  <si>
    <t xml:space="preserve">华虹公司</t>
  </si>
  <si>
    <t xml:space="preserve">证据强：2025年报披露公司为全球领先特色工艺晶圆代工企业，聚焦嵌入式/独立式非易失性存储器、功率器件、模拟与电源管理、逻辑与射频等平台；AI链条偏电源管理、功率、边缘/端侧配套，较中芯国际更偏特色工艺。</t>
  </si>
  <si>
    <t xml:space="preserve">AIDC电路保护</t>
  </si>
  <si>
    <t xml:space="preserve">301031</t>
  </si>
  <si>
    <t xml:space="preserve">中熔电气</t>
  </si>
  <si>
    <t xml:space="preserve">证据强：2025年报披露激励熔断器、智能熔断器及继电器在光伏、储能及数据中心需求涌现，公司面向智算/超算AIDC从UPS到HVDC再到SST提供一站式电路保护方案；合并删减“数据中心母线”重复行。</t>
  </si>
  <si>
    <t xml:space="preserve">300693</t>
  </si>
  <si>
    <t xml:space="preserve">盛弘股份</t>
  </si>
  <si>
    <t xml:space="preserve">电能质量和电力电子设备平台，年报披露可向数据中心提供APF、SVG、UPS、UPQC和储能PCS，满足AI服务器对电力质量和备电的需求；主板块保留数据中心电源，电能质量、AIDC固态变压器和数据中心储能并入备注，SST/HVDC仍属研发和订单跟踪阶段。证据B。</t>
  </si>
  <si>
    <t xml:space="preserve">半导体洁净过滤</t>
  </si>
  <si>
    <t xml:space="preserve">688376</t>
  </si>
  <si>
    <t xml:space="preserve">美埃科技</t>
  </si>
  <si>
    <t xml:space="preserve">证据中强：2025年报披露公司聚焦工业级超洁净技术，风机过滤单元、过滤器和空气净化设备用于半导体等洁净厂房，并通过收购延伸洁净室墙壁和天花板系统；但2025净利润下滑，半导体项目延期压制业绩弹性。</t>
  </si>
  <si>
    <t xml:space="preserve">存储芯片测试设备</t>
  </si>
  <si>
    <t xml:space="preserve">688627</t>
  </si>
  <si>
    <t xml:space="preserve">精智达</t>
  </si>
  <si>
    <t xml:space="preserve">证据强：2025年报/公开资料显示半导体存储测试设备业务快速放量，并签订两笔约3.2亿元级半导体重大订单；公司推进高速FT测试机、老化测试修复设备、探针卡及HBM测试设备研发，HBM BI属于未来强化方向，主板块收敛为存储芯片测试设备。</t>
  </si>
  <si>
    <t xml:space="preserve">605020</t>
  </si>
  <si>
    <t xml:space="preserve">永和股份</t>
  </si>
  <si>
    <t xml:space="preserve">氟化工和含氟高分子材料平台可观察电子氟化液/浸没冷却液方向，但公开数据中心客户和订单证据弱于巨化；主板块暂保留浸没式液冷冷却液，风险是产品认证、产能投放和主题兑现不足。证据C。</t>
  </si>
  <si>
    <t xml:space="preserve">002897</t>
  </si>
  <si>
    <t xml:space="preserve">意华股份</t>
  </si>
  <si>
    <t xml:space="preserve">年报披露DSFP56、QSFP112-NPC 3.2T高速铜缆连接器、OSFP112 800G高速连接器等研发/小批量生产进展，AI数据中心映射更偏高速I/O连接器；主板块由MCIO-SlimSAS改为高速连接器，风险是批量规模、客户认证和通讯业务盈利弹性。证据A/B。</t>
  </si>
  <si>
    <t xml:space="preserve">002518</t>
  </si>
  <si>
    <t xml:space="preserve">科士达</t>
  </si>
  <si>
    <t xml:space="preserve">UPS和数据中心关键基础设施供应商，2025年报披露智慧电源、数据中心产品收入约29.55亿元，占营收56.05%，并交付银行、通信、互联网和云计算数据中心项目；主板块保留数据中心电源，模块化数据中心和精密列头柜并入备注，Power Shelf/液冷CDU等仍需看订单。证据A/B。</t>
  </si>
  <si>
    <t xml:space="preserve">000988</t>
  </si>
  <si>
    <t xml:space="preserve">华工科技</t>
  </si>
  <si>
    <t xml:space="preserve">联接业务受AI算力拉动，2025年实现800G硅光LPO系列和1.6T光模块规模交付，并布局3.2T NPO/CPO光引擎；主板块保留高速光模块，硅光/CPO放备注跟踪，风险是业务较多元、纯度弱于光模块龙头。证据A/B。</t>
  </si>
  <si>
    <t xml:space="preserve">良率管理EDA</t>
  </si>
  <si>
    <t xml:space="preserve">301095</t>
  </si>
  <si>
    <t xml:space="preserve">广立微</t>
  </si>
  <si>
    <t xml:space="preserve">证据中强：2025年报/公开披露显示公司营收和利润增长，业务围绕DFM/DFT、测试芯片、WAT晶圆级电性测试及良率提升闭环；WAT和功能安全仿真作为能力补充并入备注，合并删减重复行。</t>
  </si>
  <si>
    <t xml:space="preserve">企业级存储模组</t>
  </si>
  <si>
    <t xml:space="preserve">301308</t>
  </si>
  <si>
    <t xml:space="preserve">江波龙</t>
  </si>
  <si>
    <t xml:space="preserve">公司企业级eSSD和RDIMM已在互联网、运营商等客户完成验证并批量出货，SOCAMM2、CXL内存扩展、MRDIMM等构成AI服务器存储升级可选项；主板块由SOCAMM改为企业级存储模组，端侧UFS、eMMC、SSD主控、SPU、HLC-iSA、mSSD和CXL并入备注。SOCAMM2仍需收入贡献验证。证据A/B。</t>
  </si>
  <si>
    <t xml:space="preserve">002409</t>
  </si>
  <si>
    <t xml:space="preserve">雅克科技</t>
  </si>
  <si>
    <t xml:space="preserve">电子材料平台，半导体前驱体、封装材料和UP Chemical相关产品是AI先进封装/HBM材料映射的核心；年报明确跟踪先进制程薄膜沉积和人工智能先进封装复杂芯片组所需前驱体材料。主板块由HBM封装材料收敛为先进封装材料，ALD-CVD前驱体并入备注；HBM具体客户、TC-NCF收入占比仍需持续验证。风险是海外客户认证、韩国子公司汇率、封装材料放量节奏和传统阻燃剂/LNG材料波动。证据A/B。</t>
  </si>
  <si>
    <t xml:space="preserve">流程工业AI</t>
  </si>
  <si>
    <t xml:space="preserve">688777</t>
  </si>
  <si>
    <t xml:space="preserve">中控技术</t>
  </si>
  <si>
    <t xml:space="preserve">证据强：公司持续深化All in AI战略，将AI能力融入流程工业控制、数据与场景体系；客户和控制系统部署基础集中在石化、化工、电力、冶金、制药等流程工业，主板块由工业AI收敛为流程工业AI。</t>
  </si>
  <si>
    <t xml:space="preserve">603929</t>
  </si>
  <si>
    <t xml:space="preserve">亚翔集成</t>
  </si>
  <si>
    <t xml:space="preserve">证据中强：2025年报披露公司为IC半导体、光电、云计算中心等建厂工程提供洁净室、机电和建筑工程服务，净利润同比高增；AI受益路径来自半导体/存储扩产与厂务资本开支，属于配套基础设施而非芯片产品直接弹性。</t>
  </si>
  <si>
    <t xml:space="preserve">多模态训练数据</t>
  </si>
  <si>
    <t xml:space="preserve">688787</t>
  </si>
  <si>
    <t xml:space="preserve">海天瑞声</t>
  </si>
  <si>
    <t xml:space="preserve">证据强：2025年报披露全球AI渗透和多模态大模型需求推动训练数据服务扩容，公司持续投入语音、视觉、NLP、3D点云及大模型数据清洗/自动标注能力；主板块由训练数据细化为多模态训练数据。</t>
  </si>
  <si>
    <t xml:space="preserve">688097</t>
  </si>
  <si>
    <t xml:space="preserve">博众精工</t>
  </si>
  <si>
    <t xml:space="preserve">自动化装备平台，年报/半年报披露半导体业务切入400G/800G/1.6T光模块场景，共晶贴片机等设备已在高速光模块规模化生产中批量应用并进入头部企业供应链；主板块保留光模块封测耦合设备，风险是光模块设备收入占比、订单连续性和3C/新能源业务波动。证据B。</t>
  </si>
  <si>
    <t xml:space="preserve">300802</t>
  </si>
  <si>
    <t xml:space="preserve">矩子科技</t>
  </si>
  <si>
    <t xml:space="preserve">机器视觉设备公司，AOI、SPI等产品检测速度、精度和检出率为核心竞争力，可受益高层高密PCB良率控制需求；主板块保留PCB AOI，先进封装X-Ray并入备注降级，风险是AI PCB客户与收入占比披露不足、消费电子和海外订单波动。证据B/C。</t>
  </si>
  <si>
    <t xml:space="preserve">AIDC智算中心</t>
  </si>
  <si>
    <t xml:space="preserve">300442</t>
  </si>
  <si>
    <t xml:space="preserve">润泽科技</t>
  </si>
  <si>
    <t xml:space="preserve">证据强：2025年报显示AIDC收入25.1亿元、占总收入44.24%，新增交付算力规模220MW且含单体100MW智算中心；合并IDC/算力中心运维，主线改为AIDC智算中心。</t>
  </si>
  <si>
    <t xml:space="preserve">先进封装电镀液</t>
  </si>
  <si>
    <t xml:space="preserve">300236</t>
  </si>
  <si>
    <t xml:space="preserve">上海新阳</t>
  </si>
  <si>
    <t xml:space="preserve">证据强：2025年报显示公司聚焦集成电路制造及先进封装关键工艺材料，半导体业务收入同比高增，晶圆制造及先进封装用电镀液及添加剂市场份额提升、销售额同比增长约40%；合并删减“先进封装工艺材料”泛标签重复行。</t>
  </si>
  <si>
    <t xml:space="preserve">603912</t>
  </si>
  <si>
    <t xml:space="preserve">佳力图</t>
  </si>
  <si>
    <t xml:space="preserve">数据中心温控底盘上拓展集装箱式液冷、液冷机柜、2MW级CDU和液冷整机柜测试环境，主板块保留数据中心液冷系统；风墙、冷源和模块化数据中心并入备注，不单列重复板块，风险是项目型订单、规模化交付和利润率。证据A/B。</t>
  </si>
  <si>
    <t xml:space="preserve">半导体真空泵</t>
  </si>
  <si>
    <t xml:space="preserve">002158</t>
  </si>
  <si>
    <t xml:space="preserve">汉钟精机</t>
  </si>
  <si>
    <t xml:space="preserve">证据中强：2025年报显示公司真空产品已应用于半导体、太阳能、锂电等领域，半导体真空泵是真实AI链条节点；工艺温控并非公司半导体主线，合并删减“半导体工艺温控”重复行。短期需跟踪半导体客户认证和收入占比。</t>
  </si>
  <si>
    <t xml:space="preserve">603290</t>
  </si>
  <si>
    <t xml:space="preserve">斯达半导</t>
  </si>
  <si>
    <t xml:space="preserve">证据中强：2025年报显示IGBT模块收入占主营约83.7%，车规IGBT/SiC模块获多个平台定点并拓展工业及电源场景；AI服务器/数据中心仍属新兴开拓，主板块由泛功率半导体收敛为IGBT/SiC功率模块。</t>
  </si>
  <si>
    <t xml:space="preserve">数据中心冷源</t>
  </si>
  <si>
    <t xml:space="preserve">300249</t>
  </si>
  <si>
    <t xml:space="preserve">依米康</t>
  </si>
  <si>
    <t xml:space="preserve">数据中心温控和机房环境解决方案底盘明确，液冷机柜、冷源和氟泵自然冷却等可受益AIDC热密度提升；主板块保留数据中心冷源，风险是财务质量、项目回款和液冷订单纯度。证据B。</t>
  </si>
  <si>
    <t xml:space="preserve">300913</t>
  </si>
  <si>
    <t xml:space="preserve">兆龙互连</t>
  </si>
  <si>
    <t xml:space="preserve">高速数据线缆/连接组件为主，覆盖10G至800G AOC并推进高速铜互连，AI服务器短距互连弹性来自DAC/ACC/AEC/AOC组合；主板块由AOC有源光缆改为高速铜互连，AOC放备注，风险是单价、客户认证和规模放量。证据B。</t>
  </si>
  <si>
    <t xml:space="preserve">数据中心变压器</t>
  </si>
  <si>
    <t xml:space="preserve">002922</t>
  </si>
  <si>
    <t xml:space="preserve">伊戈尔</t>
  </si>
  <si>
    <t xml:space="preserve">证据中强：2025年报披露公司处于变压器设备及照明领域，数据中心变压设备市场扩容；公开点评显示数据中心产品收入约2.4亿元、同比高增，产品拓展至干式/油浸式等。主板块由移相变压器调整为更完整的数据中心变压器。</t>
  </si>
  <si>
    <t xml:space="preserve">AI眼镜CIS</t>
  </si>
  <si>
    <t xml:space="preserve">688728</t>
  </si>
  <si>
    <t xml:space="preserve">格科微</t>
  </si>
  <si>
    <t xml:space="preserve">证据中强：2025年报披露公司主营CIS与DDIC，高像素CIS放量；公告口径显示公司持续关注AI眼镜等新兴市场，500万和800万像素CIS已在AI眼镜项目量产。主板块保留AI眼镜CIS，但整体利润承压，需跟踪AI眼镜CIS是否能改善产品结构和毛利。</t>
  </si>
  <si>
    <t xml:space="preserve">603690</t>
  </si>
  <si>
    <t xml:space="preserve">至纯科技</t>
  </si>
  <si>
    <t xml:space="preserve">证据中：2025年报摘要披露公司业务围绕高纯工艺系统、制程设备、电子材料、零部件和专业服务，服务晶圆厂建设投产和运营量产；AI链条来自半导体扩产，但2025归母亏损扩大，湿法设备和高纯系统订单修复需继续验证。</t>
  </si>
  <si>
    <t xml:space="preserve">行业大模型+Agent平台</t>
  </si>
  <si>
    <t xml:space="preserve">300229</t>
  </si>
  <si>
    <t xml:space="preserve">拓尔思</t>
  </si>
  <si>
    <t xml:space="preserve">证据强：2025半年报/公告披露高质量数据集系统、海贝搜索向量数据库、拓天链Agent平台及拓天大模型等；数据和向量数据库是底座，商业化主线为行业大模型+Agent平台。</t>
  </si>
  <si>
    <t xml:space="preserve">服务器风扇</t>
  </si>
  <si>
    <t xml:space="preserve">301226</t>
  </si>
  <si>
    <t xml:space="preserve">祥明智能</t>
  </si>
  <si>
    <t xml:space="preserve">证据弱：2025年报披露公司主营微特电机、风机及智能化组件，服务HVACR、交通车辆、通信系统、医疗健康等行业；未见明确AI服务器客户或订单，暂保留服务器风扇观察位，真实弹性需看数据中心风机客户验证。</t>
  </si>
  <si>
    <t xml:space="preserve">600160</t>
  </si>
  <si>
    <t xml:space="preserve">巨化股份</t>
  </si>
  <si>
    <t xml:space="preserve">氟化工平台龙头，年报披露JX系列氟液含高性能电子冷却液和浸没式冷却液，是冷却液材料端较有产品证据的映射；主板块保留浸没式液冷冷却液，风险是冷板/CDU仍为主流、浸没式渗透和数据中心客户验证。证据A。</t>
  </si>
  <si>
    <t xml:space="preserve">半导体前道设备</t>
  </si>
  <si>
    <t xml:space="preserve">002371</t>
  </si>
  <si>
    <t xml:space="preserve">北方华创</t>
  </si>
  <si>
    <t xml:space="preserve">证据强：2025年报披露电子工艺装备收入高增，刻蚀、薄膜沉积、热处理、湿法清洗等主力设备放量，离子注入、电镀、混合键合等新品推进；MFC和清洗设备只是平台产品/子环节，合并删减重复行。</t>
  </si>
  <si>
    <t xml:space="preserve">601133</t>
  </si>
  <si>
    <t xml:space="preserve">柏诚股份</t>
  </si>
  <si>
    <t xml:space="preserve">证据中：2025年报/摘要显示公司主要从事高等级洁净系统集成服务，覆盖半导体及泛半导体、新型显示、生命科学等；2025营收和利润承压且应收/合同资产占比较高，AI链条为晶圆厂扩产配套，保留半导体洁净室但降低弹性强度。</t>
  </si>
  <si>
    <t xml:space="preserve">端侧AI蜂窝模组</t>
  </si>
  <si>
    <t xml:space="preserve">603236</t>
  </si>
  <si>
    <t xml:space="preserve">移远通信</t>
  </si>
  <si>
    <t xml:space="preserve">证据强：2025年报披露物联网需求回暖，边缘计算、混合现实、大模型与物联网融合加速；公司推出支持主流AI大模型端侧部署的5G智能座舱模组，并依托智能模组、AI大模型、主控板、算力卡和自研算法打造多层级端侧AI方案。主板块保留端侧AI蜂窝模组，跟踪AI模组收入占比和毛利提升。</t>
  </si>
  <si>
    <t xml:space="preserve">AR光波导</t>
  </si>
  <si>
    <t xml:space="preserve">002273</t>
  </si>
  <si>
    <t xml:space="preserve">水晶光电</t>
  </si>
  <si>
    <t xml:space="preserve">精密镀膜、微纳光学和光电封测能力较强，AR/VR领域反射光波导及核心光学元件为公司重点工程，AI眼镜是更直接的未来映射；主板块改为AR光波导，微透镜并入备注，CPO硅透镜研发仅作远期观察，风险是AR大客户量产节奏、消费电子大客户依赖和光通信收入兑现。证据B。</t>
  </si>
  <si>
    <t xml:space="preserve">端侧AI SoC</t>
  </si>
  <si>
    <t xml:space="preserve">603893</t>
  </si>
  <si>
    <t xml:space="preserve">瑞芯微</t>
  </si>
  <si>
    <t xml:space="preserve">证据强：2026年一季报及2026年半年度业绩预告显示，公司采用“AIoT SoC算力平台+AI协处理器”双轨路线，RK3588、RK3576、RV11系列持续高速增长，RK182X已量产并预计下半年开始放量；以RK3588为例，芯片集成CPU、GPU、6TOPS自研NPU、ISP及8K音视频编解码能力，终端覆盖机器人、机器视觉/安防、工业控制、智能座舱、商显/办公、智能家居及教育娱乐等消费电子。2026H1预告营收28.70—29.10亿元、归母净利润8.50—9.10亿元、扣非净利润8.30—8.90亿元（均未经审计）。主板块归入端侧AI SoC；风险是存储及载板等原材料涨价/短缺、消费类终端承压，以及新品导入和放量不及预期。</t>
  </si>
  <si>
    <t xml:space="preserve">688629</t>
  </si>
  <si>
    <t xml:space="preserve">华丰科技</t>
  </si>
  <si>
    <t xml:space="preserve">数据中心、AI服务器和核心路由器需求拉动高速背板连接器、高速模组、线缆组件放量，112G已形成产品基础，224G处于样品/验证到量产爬坡阶段；主板块改为224G高速背板连接器，CPU Socket仅作高端连接器期权，风险是客户验证和批量稳定性。证据A/B。</t>
  </si>
  <si>
    <t xml:space="preserve">端侧AI MCU</t>
  </si>
  <si>
    <t xml:space="preserve">688018</t>
  </si>
  <si>
    <t xml:space="preserve">乐鑫科技</t>
  </si>
  <si>
    <t xml:space="preserve">证据中强：2025年报披露公司以AIoT为核心，芯片、模组和开发套件保持增长；官方ESP32-P4为双核RISC-V高性能MCU，具备AI指令扩展、先进内存子系统和高速外设，面向HMI、边缘计算、视觉AI等嵌入式场景。风险是AI算力较SoC/NPU平台更轻量，需跟踪高端新品放量和客户结构。</t>
  </si>
  <si>
    <t xml:space="preserve">300604</t>
  </si>
  <si>
    <t xml:space="preserve">长川科技</t>
  </si>
  <si>
    <t xml:space="preserve">证据强：2025年报/公开资料显示公司已形成测试机、分选机、探针台、AOI等平台型产品矩阵，测试机成为核心收入来源，AI芯片复杂度提升、存储扩产和国产替代共同拉动高端测试设备需求；合并并删减“半导体测试分选机”重复行。2026-06-16 JPM补充：报告把GPU FT/SLT测试时间延长、TDP提升列为测试设备需求驱动，海外锚为Chroma；长川受益需验证高端SoC/SLT平台订单和AI客户收入，不泛化为所有测试机。</t>
  </si>
  <si>
    <t xml:space="preserve">端侧音视频SoC</t>
  </si>
  <si>
    <t xml:space="preserve">688332</t>
  </si>
  <si>
    <t xml:space="preserve">中科蓝讯</t>
  </si>
  <si>
    <t xml:space="preserve">证据中：公司专注低功耗无线音频SoC，2025年报披露形成蓝牙耳机、智能穿戴、AIoT、AI语音识别、Wi-Fi、视频芯片等产品线，并向AI玩具、AI眼镜、AI音箱扩展；主板块保留端侧音视频SoC。风险是2025净利高增主要受投资公允价值影响，扣非和主业毛利需单独跟踪。</t>
  </si>
  <si>
    <t xml:space="preserve">智算网络设备</t>
  </si>
  <si>
    <t xml:space="preserve">000938</t>
  </si>
  <si>
    <t xml:space="preserve">紫光股份</t>
  </si>
  <si>
    <t xml:space="preserve">证据强：新华三深度覆盖云、网、安、算、存、端，但公司披露中国数据中心交换机份额居前，并在智算网络、800G/CPO交换机和AI算力基础设施上持续推进；删减AI存储、AI服务器ODM重复行，主板块保留最能体现差异化和份额优势的智算交换机。</t>
  </si>
  <si>
    <t xml:space="preserve">002335</t>
  </si>
  <si>
    <t xml:space="preserve">科华数据</t>
  </si>
  <si>
    <t xml:space="preserve">智算中心供电系统平台，产品覆盖UPS、HVDC、预制式电力模组、液冷微模块、精密列头柜和智能小母线，半年度报告披露以UPS、HVDC、液冷等核心产品推进认证和样机测试。主板块保留数据中心电源，模块化数据中心、数据中心储能和数据中心母线并入备注，风险是系统集成毛利、海外AI客户和项目回款。证据A/B。</t>
  </si>
  <si>
    <t xml:space="preserve">高端存储分销</t>
  </si>
  <si>
    <t xml:space="preserve">300475</t>
  </si>
  <si>
    <t xml:space="preserve">香农芯创</t>
  </si>
  <si>
    <t xml:space="preserve">公司以SK海力士核心代理分销为基本盘，向国内云服务器龙头和大型ODM提供存储解决方案；HBM/DDR5紧缺带来强周期弹性，但本质不是HBM制造商。自主海普存储企业级SSD/DRAM开始贡献增量。主板块由HBM改为高端存储分销，风险是存储价格周期、供应商授权、分销毛利和库存。证据A/B。</t>
  </si>
  <si>
    <t xml:space="preserve">行业AI智能体平台</t>
  </si>
  <si>
    <t xml:space="preserve">301236</t>
  </si>
  <si>
    <t xml:space="preserve">软通动力</t>
  </si>
  <si>
    <t xml:space="preserve">证据强：2025年报披露公司以软通天璇AutoAgent等平台为引擎，提供从AI咨询、模型部署、智能体开发到持续运营的全流程智能化升级服务；主板块保留行业AI平台并细化为行业AI智能体平台。</t>
  </si>
  <si>
    <t xml:space="preserve">制造业AI智能体平台</t>
  </si>
  <si>
    <t xml:space="preserve">300378</t>
  </si>
  <si>
    <t xml:space="preserve">鼎捷数智</t>
  </si>
  <si>
    <t xml:space="preserve">证据强：2025年报披露公司持续升级鼎捷雅典娜数智底座并丰富AI智能体矩阵，AI相关业务签约金额近2亿元，覆盖生产、销售、财务等制造场景；主板块由工业AI细化为制造业AI智能体平台。</t>
  </si>
  <si>
    <t xml:space="preserve">电能质量</t>
  </si>
  <si>
    <t xml:space="preserve">688663</t>
  </si>
  <si>
    <t xml:space="preserve">新风光</t>
  </si>
  <si>
    <t xml:space="preserve">SVG、PCS、高压变频器和电力电子控制是核心，年报指出AI大模型和数据中心增长将带动无功补偿等电力基础设施需求，调研资料披露SVG等产品已用于数据中心场景；SST是后续弹性。主板块保留电能质量。风险是数据中心订单规模、煤矿/工业周期、SST量产和价格竞争。证据A/B。</t>
  </si>
  <si>
    <t xml:space="preserve">AI服务器整机</t>
  </si>
  <si>
    <t xml:space="preserve">000977</t>
  </si>
  <si>
    <t xml:space="preserve">浪潮信息</t>
  </si>
  <si>
    <t xml:space="preserve">证据强：2025年报披露总营收1647.82亿元、同比增长43.25%，主要由服务器产品销售增长驱动；存储交换类收入占比小，删减AI存储重复行，主板块改为AI服务器整机。风险是服务器高增但毛利率偏低，GPU/核心器件供应和价格压力影响利润弹性。</t>
  </si>
  <si>
    <t xml:space="preserve">301536</t>
  </si>
  <si>
    <t xml:space="preserve">星宸科技</t>
  </si>
  <si>
    <t xml:space="preserve">证据强（截至2026-07-25）：公司以视觉AI SoC为核心，核心芯片集成ISP、NPU、编解码、音频/显示等IP；主要产品/目标终端包括IPC/NVR（SSR670G）、家用服务及户外等机器人、智能家居/办公/工业、智能穿戴和车载记录仪/DMS/OMS/CMS/L0-L2辅助驾驶，另布局SPAD 3D感知与蓝牙。已形成收入：2025年智能安防19.35亿元/65.10%、智能物联6.58亿元/22.14%、智能车载3.18亿元/10.69%；2026H1预告收入26.2—27.2亿元、归母8.2—9.0亿元、扣非7.0—7.8亿元（未经审计；7月22日公告称无需修正），SSR670系列公司称已大规模商用。商业化边界：AI眼镜SSC309QL仅小规模量产，另有5—6家客户开发中，订单/独立收入N/A；机器人2025年出货超1,000万颗但独立收入N/A，具身“小脑/大脑”仍在研；SS901公司IR称已在国内一线自主品牌主力车型量产上车，其他车载/3D项目的导入或规划不等于订单/收入。PE(TTM，用户口径)=24.4—28.4x：总市值555.82亿元（东方财富，2026-07-24收盘）÷[(2026H1扣非预告7.0—7.8亿元−2026Q1扣非2.0998亿元)×4]，非标准近四季PE。证据状态：财务/分部=confirmed_official；产品/客户进展=company_claim；估值=market_data_vendor；annualized_core_gap_status=insufficient、formal_surprise_status=N/A（缺公告前FY归母点时共识）。风险：半年度预告待8月27日正式半年报验证，毛利率、现金流、存货、价量与新品放量持续性待核。</t>
  </si>
  <si>
    <t xml:space="preserve">国产AI加速芯片</t>
  </si>
  <si>
    <t xml:space="preserve">688256</t>
  </si>
  <si>
    <t xml:space="preserve">寒武纪</t>
  </si>
  <si>
    <t xml:space="preserve">证据强：2025年报披露公司云边端智能芯片及板卡矩阵，云端产品线面向服务器和数据中心AI处理，收入大增并首次全年盈利；删减“AI推理板卡”重复行，板卡是产品形态，主板块归入国产AI加速芯片。</t>
  </si>
  <si>
    <t xml:space="preserve">688525</t>
  </si>
  <si>
    <t xml:space="preserve">佰维存储</t>
  </si>
  <si>
    <t xml:space="preserve">公司企业级存储方案覆盖PCIe/SATA SSD、DDR4/DDR5 RDIMM和CXL内存扩展模组，服务数据中心、服务器和AI工作负载；主板块由DDR5 SPD改为企业级存储模组，SOCAMM、企业级SSD、SSD主控、UFS、晶圆级封测和CXL并入备注或降级。风险是NAND/DRAM价格周期、库存、客户认证和自研控制器/封测兑现。证据B。</t>
  </si>
  <si>
    <t xml:space="preserve">国产EDA平台</t>
  </si>
  <si>
    <t xml:space="preserve">301269</t>
  </si>
  <si>
    <t xml:space="preserve">华大九天</t>
  </si>
  <si>
    <t xml:space="preserve">证据强：2025年报摘要披露公司EDA软件收入占比高，构建3DIC全流程、先进工艺支持、AI+EDA等关键解决方案，并称为国内唯一3DIC设计验证全流程EDA提供商；合并删减3DIC物理验证、存储芯片设计EDA、DTCO-PDK开发重复行。</t>
  </si>
  <si>
    <t xml:space="preserve">603379</t>
  </si>
  <si>
    <t xml:space="preserve">三美股份</t>
  </si>
  <si>
    <t xml:space="preserve">制冷剂和氟化工基础较强，浸没式冷却液更多是含氟材料主题迁移观察，公开数据中心冷却液产品、客户和订单证据不足；主板块暂保留浸没式液冷冷却液但证据弱，风险是AI链条相关性和业务兑现。证据C。</t>
  </si>
  <si>
    <t xml:space="preserve">数据中心STS/ATS</t>
  </si>
  <si>
    <t xml:space="preserve">002927</t>
  </si>
  <si>
    <t xml:space="preserve">泰永长征</t>
  </si>
  <si>
    <t xml:space="preserve">证据中强：2025年报披露中低压ATSE产品升级，TBBQ12中压自动转换开关已在运营商数据中心项目商用；数据中心移相整流变压器仍处验证阶段，固态断路器偏直流配电技术储备，故合并删减“移相变压器、固态断路器”重复行。</t>
  </si>
  <si>
    <t xml:space="preserve">300563</t>
  </si>
  <si>
    <t xml:space="preserve">神宇股份</t>
  </si>
  <si>
    <t xml:space="preserve">证据中：2025年报披露AI服务器、云端存储普及推动高速数据线向高频、低损耗、高可靠升级，公司高速数据线业务规模和盈利水平提升；但主业仍为射频同轴电缆，AI服务器产品收入未单列。</t>
  </si>
  <si>
    <t xml:space="preserve">高性能铜合金</t>
  </si>
  <si>
    <t xml:space="preserve">002171</t>
  </si>
  <si>
    <t xml:space="preserve">楚江新材</t>
  </si>
  <si>
    <t xml:space="preserve">证据中：2025年报披露公司聚焦新能源、5G通信、智能网联、机器人及AI算力等高增长赛道，精密铜带已批量应用于屏蔽罩、高速连接器、集成电路引线框架等关键部件；原“引线框架”过窄，调整为材料端主板块，AI弹性取决于高速连接器/服务器线缆等高端铜材放量。</t>
  </si>
  <si>
    <t xml:space="preserve">AI推理芯片</t>
  </si>
  <si>
    <t xml:space="preserve">688343</t>
  </si>
  <si>
    <t xml:space="preserve">云天励飞</t>
  </si>
  <si>
    <t xml:space="preserve">证据中强：2025年报披露公司构建应用、算法、芯片全栈能力，自研AI推理芯片适配国产大模型、操作系统和推理框架，并推出大模型一体机；一体机为产品化形态，主板块保留AI推理芯片。</t>
  </si>
  <si>
    <t xml:space="preserve">机器人执行器</t>
  </si>
  <si>
    <t xml:space="preserve">601689</t>
  </si>
  <si>
    <t xml:space="preserve">拓普集团</t>
  </si>
  <si>
    <t xml:space="preserve">证据中强：2025年报披露公司已设立机器人执行器事业部，布局直线执行器、旋转执行器、灵巧手、传感器、躯体结构件、足部减震器、电子柔性皮肤等平台化产品；直线执行器获得客户认可后继续送样旋转执行器和灵巧手电机。主板块保留机器人执行器，风险是收入主体仍为汽车零部件且机器人客户/订单未完全披露。</t>
  </si>
  <si>
    <t xml:space="preserve">601137</t>
  </si>
  <si>
    <t xml:space="preserve">博威合金</t>
  </si>
  <si>
    <t xml:space="preserve">证据中：公司高性能合金材料下游覆盖新能源汽车、算力服务器、智能手机和半导体芯片等，高强高导铜合金可映射引线框架、连接器和热管理材料；原“引线框架”过窄，改为材料端主板块。风险是2025年净利大幅下滑，新能源资产减值/海外政策扰动拖累整体基本面。</t>
  </si>
  <si>
    <t xml:space="preserve">AIDC电力设备</t>
  </si>
  <si>
    <t xml:space="preserve">688676</t>
  </si>
  <si>
    <t xml:space="preserve">金盘科技</t>
  </si>
  <si>
    <t xml:space="preserve">干式变压器、数据中心电源模块、HVDC和固态变压器是AI数据中心供电链条的直接设备节点；2025年报披露AIDC/IDC数据中心收入高增，客户覆盖互联网与运营商数据中心项目。主板块由数据中心电力细化为AIDC电力设备，风险是AIDC订单持续性、应收回款、海外交付和新型电源技术量产。证据A。</t>
  </si>
  <si>
    <t xml:space="preserve">603662</t>
  </si>
  <si>
    <t xml:space="preserve">柯力传感</t>
  </si>
  <si>
    <t xml:space="preserve">证据强：2025年报披露公司围绕人形、协作和工业机器人加快六维力/力矩、一维至三维力、触觉、IMU等产品研发认证及批量交付；半年报披露以六维力/力矩为核心融合触觉、IMU的机器人传感方案。删减“触觉传感器-IMU”重复行，保留最能解释AI机器人弹性的机器人力传感器。</t>
  </si>
  <si>
    <t xml:space="preserve">Edge BMC管理芯片</t>
  </si>
  <si>
    <t xml:space="preserve">688595</t>
  </si>
  <si>
    <t xml:space="preserve">芯海科技</t>
  </si>
  <si>
    <t xml:space="preserve">证据中：2025年报摘要披露面向边缘计算及服务器市场的轻量级edge BMC管理芯片已上市并量产销售，同时EC芯片在AI PC量产；保留BMC但改为Edge BMC管理芯片，风险是公司仍亏损且BMC收入规模未单列。</t>
  </si>
  <si>
    <t xml:space="preserve">002126</t>
  </si>
  <si>
    <t xml:space="preserve">银轮股份</t>
  </si>
  <si>
    <t xml:space="preserve">热管理平台公司，年报披露数据中心水-液和水-风液冷模块产品，并作为服务器液冷机柜液冷模块部件供应商切入；主板块保留数据中心液冷系统，但AI数据中心收入占比仍需拆分，风险是汽车主业周期和数据中心业务验证。证据B。</t>
  </si>
  <si>
    <t xml:space="preserve">高算力智能模组</t>
  </si>
  <si>
    <t xml:space="preserve">002881</t>
  </si>
  <si>
    <t xml:space="preserve">美格智能</t>
  </si>
  <si>
    <t xml:space="preserve">证据中强：2025年报披露无线通信模组正向智能模组、高算力模组升级，公司的智能模组和高算力模组是物联网终端侧、边缘侧计算能力承载平台，并推动端侧AI在物联网领域落地；主板块从端侧AI蜂窝模组细化为高算力智能模组，跟踪海外收入、车载/AR/VR等大颗粒市场和毛利修复。</t>
  </si>
  <si>
    <t xml:space="preserve">603667</t>
  </si>
  <si>
    <t xml:space="preserve">五洲新春</t>
  </si>
  <si>
    <t xml:space="preserve">证据中强：2025定增预案披露具身智能机器人和汽车智驾核心零部件项目，达产后规划年产98万套行星滚柱丝杠、210万套微型滚珠丝杠和7万组通用机器人专用轴承；删减机器人专用轴承重复行，保留最能解释人形机器人弹性的行星滚柱丝杠。风险是募投建设周期较长，当前丝杠收入基数仍小。</t>
  </si>
  <si>
    <t xml:space="preserve">AI+CAx工业设计软件</t>
  </si>
  <si>
    <t xml:space="preserve">688083</t>
  </si>
  <si>
    <t xml:space="preserve">中望软件</t>
  </si>
  <si>
    <t xml:space="preserve">证据中强：2025年报披露公司持续探索AI与CAx软件深度融合，ZWCAD 2026集成相似图形检索等AI功能并以API赋能生态；核心仍是研发设计类工业软件，主板块由工业设计AI细化为AI+CAx工业设计软件。</t>
  </si>
  <si>
    <t xml:space="preserve">数据中心备用发电</t>
  </si>
  <si>
    <t xml:space="preserve">300153</t>
  </si>
  <si>
    <t xml:space="preserve">科泰电源</t>
  </si>
  <si>
    <t xml:space="preserve">证据强：主营发电机组/备用电源，2025年报披露备用电源覆盖算力中心、数据中心，且新增互联网客户、海外数据中心大规模交付；AI相关性在数据中心电力保障，不是算力核心设备，跟踪订单、毛利率和交付回款。</t>
  </si>
  <si>
    <t xml:space="preserve">机器人电子皮肤</t>
  </si>
  <si>
    <t xml:space="preserve">300007</t>
  </si>
  <si>
    <t xml:space="preserve">汉威科技</t>
  </si>
  <si>
    <t xml:space="preserve">证据强：2025年报披露柔性传感电子皮肤入选2025具身智能十大创新产品和技术，机器人相关电子皮肤和触觉传感器已小批量供货；公司官网披露具备年产1000万支柔性传感器产线和柔性压阻/压电/电容/汗液四大技术。主板块从电子皮肤规范为机器人电子皮肤，风险是整体业务仍以气体/仪表等传感平台为主。</t>
  </si>
  <si>
    <t xml:space="preserve">300481</t>
  </si>
  <si>
    <t xml:space="preserve">濮阳惠成</t>
  </si>
  <si>
    <t xml:space="preserve">主营顺酐酸酐衍生物、功能材料中间体，应用于电子元器件封装、电气绝缘等；与AI高速CCL更偏上游配方材料观察，不直接等同核心高频高速树脂，主板块暂保留高速电子树脂但证据较弱，风险是利润下滑和AI收入不可见。证据C。</t>
  </si>
  <si>
    <t xml:space="preserve">空心杯电机</t>
  </si>
  <si>
    <t xml:space="preserve">603728</t>
  </si>
  <si>
    <t xml:space="preserve">鸣志电器</t>
  </si>
  <si>
    <t xml:space="preserve">证据强：2025年报披露无刷电机模组、无齿槽空心杯模组、无框/交流伺服电机及驱动控制系统、精密减速机和丝杠传动模组广泛适用于人形机器人灵巧手、关节、底盘等；删减“运动控制”重复行，保留最具人形机器人弹性的空心杯电机，运动控制平台作为配套能力。</t>
  </si>
  <si>
    <t xml:space="preserve">600596</t>
  </si>
  <si>
    <t xml:space="preserve">新安股份</t>
  </si>
  <si>
    <t xml:space="preserve">参股浙江亚格新安高纯四氯化硅项目，公开口径为规划4万吨、具备6N-9N能力，预计2026年投用；定位为新增供给观察，不等同当前已验证主供。风险是投产爬坡、客户认证、权益比例和利润归属。证据B/C。新增：2026-06-28 光纤上游补充。</t>
  </si>
  <si>
    <t xml:space="preserve">企业级AI应用平台</t>
  </si>
  <si>
    <t xml:space="preserve">300170</t>
  </si>
  <si>
    <t xml:space="preserve">汉得信息</t>
  </si>
  <si>
    <t xml:space="preserve">证据强：2025年报披露公司加大行业大模型和垂类智能体研发，基于H-ZERO、H-ONE构建企业级AI基础设施并打造AI应用工厂；AI业务收入放量，主板块由企业AI中台升级为企业级AI应用平台。</t>
  </si>
  <si>
    <t xml:space="preserve">向量数据库</t>
  </si>
  <si>
    <t xml:space="preserve">603138</t>
  </si>
  <si>
    <t xml:space="preserve">海量数据</t>
  </si>
  <si>
    <t xml:space="preserve">证据中：2025年报披露公司专注数据库，Vastbase与向量数据库等AI相关能力是大模型开发和智能问答等场景底座；但收入仍以国产数据库替代为主，向量数据库商业化占比未充分拆分。</t>
  </si>
  <si>
    <t xml:space="preserve">刻蚀设备</t>
  </si>
  <si>
    <t xml:space="preserve">688012</t>
  </si>
  <si>
    <t xml:space="preserve">中微公司</t>
  </si>
  <si>
    <t xml:space="preserve">证据强：2025年报/公开资料显示公司营收创新高，刻蚀设备为最大收入来源，LPCVD/ALD、MOCVD等新产品加速放量；先进封装TSV刻蚀等提供AI先进封装延伸，但主业和业绩弹性仍以刻蚀设备为核心。</t>
  </si>
  <si>
    <t xml:space="preserve">国产CPU-DCU芯片</t>
  </si>
  <si>
    <t xml:space="preserve">688041</t>
  </si>
  <si>
    <t xml:space="preserve">海光信息</t>
  </si>
  <si>
    <t xml:space="preserve">证据强：2025年报及公开资料显示海光坚持CPU+DCU双芯战略，DCU软件栈适配大模型训练推理并在多行业场景落地；删减“AI推理板卡”重复行，核心价值在国产高端处理器和DCU算力平台。</t>
  </si>
  <si>
    <t xml:space="preserve">603019</t>
  </si>
  <si>
    <t xml:space="preserve">中科曙光</t>
  </si>
  <si>
    <t xml:space="preserve">证据中强：公司核心是高端计算机、智能计算和算力服务，2025年报披露继续围绕AI算力、液冷散热、高速互联等核心领域投入；AI存储和推理板卡只是配套能力，删减AI存储、AI推理板卡、AI服务器ODM重复行，保留更准确的AI服务器整机/智算底座定位。</t>
  </si>
  <si>
    <t xml:space="preserve">300502</t>
  </si>
  <si>
    <t xml:space="preserve">新易盛</t>
  </si>
  <si>
    <t xml:space="preserve">高速光模块业绩弹性核心，2025年营收248.42亿元、归母净利95.32亿元，1.6T、LPO/LRO、NPO/XPO产品矩阵领先；AOC、硅光、OCS、AEC等并入高速互连主线，不再拆成独立主板块，风险是估值、客户集中和技术路线切换。证据A。</t>
  </si>
  <si>
    <t xml:space="preserve">高频晶振</t>
  </si>
  <si>
    <t xml:space="preserve">300460</t>
  </si>
  <si>
    <t xml:space="preserve">惠伦晶体</t>
  </si>
  <si>
    <t xml:space="preserve">证据弱：2025半年报披露公司主营石英晶体元器件，高频产品和服务器等领域方案商认证具备基础支撑价值；但2025年仍亏损且未见明确AI服务器低抖动订单，主板块由低抖动时钟源降级为高频晶振观察。</t>
  </si>
  <si>
    <t xml:space="preserve">000880</t>
  </si>
  <si>
    <t xml:space="preserve">潍柴重机</t>
  </si>
  <si>
    <t xml:space="preserve">证据中：公司主业为船舶动力和发电机组，年报披露受AI和数据中心需求拉动，数据中心高可靠性发电机组市场需求提升；相比纯数据中心设备商，业务仍更偏发动机/能源电力通用平台，跟踪数据中心收入占比和利润弹性。</t>
  </si>
  <si>
    <t xml:space="preserve">CMP抛光材料</t>
  </si>
  <si>
    <t xml:space="preserve">688019</t>
  </si>
  <si>
    <t xml:space="preserve">安集科技</t>
  </si>
  <si>
    <t xml:space="preserve">证据强：2025年报披露公司围绕CMP抛光液、功能性湿电子化学品、电镀液及核心原材料形成“3+1”平台，先进封装用TSV、混合键合、聚合物等抛光液在国内客户中作为首选供应商并销售上量；主板块由泛先进封装工艺材料收敛为CMP抛光材料。</t>
  </si>
  <si>
    <t xml:space="preserve">机器人驱控系统</t>
  </si>
  <si>
    <t xml:space="preserve">002979</t>
  </si>
  <si>
    <t xml:space="preserve">雷赛智能</t>
  </si>
  <si>
    <t xml:space="preserve">证据强：2025年报披露公司机器人核心部件覆盖高密度无框力矩电机、中空编码器、空心杯电机、微型伺服、谐波/行星关节模组、高中低自由度灵巧手，并布局运动控制“小脑”；关节模组与灵巧手已进入数十家主流客户批量供货。主板块从机器人关节运动控制收敛为机器人驱控系统。</t>
  </si>
  <si>
    <t xml:space="preserve">涂胶显影清洗设备</t>
  </si>
  <si>
    <t xml:space="preserve">688037</t>
  </si>
  <si>
    <t xml:space="preserve">芯源微</t>
  </si>
  <si>
    <t xml:space="preserve">证据强：2025年报显示公司以光刻工序涂胶显影、单片式湿法清洗及先进封装湿法设备为主，前道晶圆加工与后道先进封装设备收入均增长；先进封装设备是AI/HBM链条延伸，主业弹性仍来自涂胶显影清洗平台，合并删减“先进封装设备”重复行。</t>
  </si>
  <si>
    <t xml:space="preserve">半导体清洗设备</t>
  </si>
  <si>
    <t xml:space="preserve">688082</t>
  </si>
  <si>
    <t xml:space="preserve">盛美上海</t>
  </si>
  <si>
    <t xml:space="preserve">证据强：2025年报披露半导体清洗设备收入占比最高，清洗、电镀、立式炉管、先进封装湿法设备等多产品增长；先进封装湿法设备适配2.5D/3D封装和Chiplet但收入占比较小，合并删减“先进封装设备”重复行。</t>
  </si>
  <si>
    <t xml:space="preserve">603009</t>
  </si>
  <si>
    <t xml:space="preserve">北特科技</t>
  </si>
  <si>
    <t xml:space="preserve">证据中强：募集说明书披露差动式行星滚柱丝杠承载能力强、刚度大、磨损小和寿命长，适用于高负载线性执行场合；募投项目达产后规划年产80万套行星滚柱丝杠，主要应用于人形机器人肢体线性运动。主板块保留差动式行星滚柱丝杠，风险是募投产能释放和客户量产验证仍需跟踪。</t>
  </si>
  <si>
    <t xml:space="preserve">企业AI平台</t>
  </si>
  <si>
    <t xml:space="preserve">600588</t>
  </si>
  <si>
    <t xml:space="preserve">用友网络</t>
  </si>
  <si>
    <t xml:space="preserve">证据中强：2025年报披露用友BIP以AI×数据×流程原生一体，将企业AI融入财务、人力、供应链、制造等核心业务；但公司仍亏损，主线保留企业AI平台并提示盈利修复风险。</t>
  </si>
  <si>
    <t xml:space="preserve">603281</t>
  </si>
  <si>
    <t xml:space="preserve">江瀚新材</t>
  </si>
  <si>
    <t xml:space="preserve">功能性硅基前驱体项目规划光纤级6N四氯化硅，属于在建供给线索；若光棒扩产持续，后续弹性取决于投产、客户认证和实际供货。风险是项目进度、产品纯度等级、客户验证周期和收入占比。证据B/C。新增：2026-06-28 光纤上游补充。</t>
  </si>
  <si>
    <t xml:space="preserve">300354</t>
  </si>
  <si>
    <t xml:space="preserve">东华测试</t>
  </si>
  <si>
    <t xml:space="preserve">证据中：2025投资者关系记录披露六维力传感器处于小批量试制阶段，下游包括工业机器人、人形机器人、航空航天、汽车、电子、医疗等；公司主业仍以结构力学性能测试、PHM、电化学工作站等为基础，机器人收入贡献尚未充分披露，跟踪送样转批量和标定/测试体系能力。</t>
  </si>
  <si>
    <t xml:space="preserve">688484</t>
  </si>
  <si>
    <t xml:space="preserve">南芯科技</t>
  </si>
  <si>
    <t xml:space="preserve">证据中：2025年业绩说明披露智能算力收入占比提升，并在AI服务器方向开发高性能多相控制器、DrMOS、大电流DC-DC和PMIC；当前更多是产品开发和客户机会，确定性低于已量产同业。</t>
  </si>
  <si>
    <t xml:space="preserve">输变电主设备</t>
  </si>
  <si>
    <t xml:space="preserve">601179</t>
  </si>
  <si>
    <t xml:space="preserve">中国西电</t>
  </si>
  <si>
    <t xml:space="preserve">高压开关、变压器、电力电子和输配电成套装备是主线，受益电网投资、特高压与大型负荷并网；数据中心固态变压器和供电装备属于新兴观察但不是当前收入核心。主板块由数据中心电力改为输变电主设备，风险是国网招标节奏、海外毛利、新业务量产和数据中心收入占比。证据B。</t>
  </si>
  <si>
    <t xml:space="preserve">行业大模型训推一体</t>
  </si>
  <si>
    <t xml:space="preserve">688327</t>
  </si>
  <si>
    <t xml:space="preserve">云从科技</t>
  </si>
  <si>
    <t xml:space="preserve">证据中强：2025年报披露公司基于CWOS和从容多模态大模型推出大模型训推及智用一体机，并在工程、制造、政务等场景落地；多模态大模型是底座，主线收敛为行业大模型训推一体。</t>
  </si>
  <si>
    <t xml:space="preserve">医学检验AI服务</t>
  </si>
  <si>
    <t xml:space="preserve">603108</t>
  </si>
  <si>
    <t xml:space="preserve">润达医疗</t>
  </si>
  <si>
    <t xml:space="preserve">证据中强但业绩弱：2025年报披露公司推出大模型产品CDx良医晓慧，覆盖数据基座、医生助理和健康智能体，已在华西、南方、齐鲁等医院落地；核心仍是IVD流通/实验室服务，主板块由IVD检验AI细化为医学检验AI服务。</t>
  </si>
  <si>
    <t xml:space="preserve">内存接口芯片</t>
  </si>
  <si>
    <t xml:space="preserve">688008</t>
  </si>
  <si>
    <t xml:space="preserve">澜起科技</t>
  </si>
  <si>
    <t xml:space="preserve">DDR5 RCD/DB、MRCD/MDB、CKD是AI服务器高带宽内存互连核心节点，PCIe Retimer、CXL MXC扩展高速互连第二曲线；主板块收敛为内存接口芯片，HBM、DDR5 SPD、SOCAMM、CXL和CXL内存扩展模组均并入备注或删除，避免误当存储模组/HBM厂商。风险是海外竞争、服务器平台迭代和新品放量节奏。证据A。</t>
  </si>
  <si>
    <t xml:space="preserve">AI多媒体创作平台</t>
  </si>
  <si>
    <t xml:space="preserve">300624</t>
  </si>
  <si>
    <t xml:space="preserve">万兴科技</t>
  </si>
  <si>
    <t xml:space="preserve">证据强：2025年报披露万兴天幕2.0音视频多媒体大模型、AI漫剧/视频创作工作流，全年AI原生应用收入超1.3亿元、同比超90%；主板块由多媒体创作AI收敛为AI多媒体创作平台。</t>
  </si>
  <si>
    <t xml:space="preserve">AIDC电力电缆</t>
  </si>
  <si>
    <t xml:space="preserve">600973</t>
  </si>
  <si>
    <t xml:space="preserve">宝胜股份</t>
  </si>
  <si>
    <t xml:space="preserve">电线电缆、裸导体、电力电缆和特种线缆平台，数据中心园区配电建设可形成需求映射，但公司2025年仍亏损、裸导体低毛利占比高，AI受益逻辑偏弱。主板块保留电力电缆，风险是盈利能力、铜价传导、应收/减值和数据中心客户证据不足。证据C。</t>
  </si>
  <si>
    <t xml:space="preserve">002261</t>
  </si>
  <si>
    <t xml:space="preserve">拓维信息</t>
  </si>
  <si>
    <t xml:space="preserve">证据中：2025年报摘要披露公司基于“鲲鹏+昇腾AI”算力底座，推出中心侧高性能服务器、推理服务器和边端终端侧产品；主板块从国产AI服务器收敛为昇腾AI服务器，风险是收入下滑、利润体量仍小。</t>
  </si>
  <si>
    <t xml:space="preserve">企业级SSD</t>
  </si>
  <si>
    <t xml:space="preserve">001309</t>
  </si>
  <si>
    <t xml:space="preserve">德明利</t>
  </si>
  <si>
    <t xml:space="preserve">证据中强：2025年报摘要披露AI浪潮下公司加快向高容量、高性能固态硬盘拓展，重点聚焦QLC NAND企业级应用方向；自研主控是能力基础，但表格保留最贴近收入承载的“企业级SSD”，删减企业级SSD主控、QLC SSD、AI场景化存储方案重复行。风险是存储价格周期和经营现金流波动。</t>
  </si>
  <si>
    <t xml:space="preserve">算力设备交付运维</t>
  </si>
  <si>
    <t xml:space="preserve">301085</t>
  </si>
  <si>
    <t xml:space="preserve">亚康股份</t>
  </si>
  <si>
    <t xml:space="preserve">证据中：2025年报摘要披露向富士康、英业达、华勤、浪潮等算力服务器制造商提供交付及售后维保，并从传统数据中心向AI智算中心运维升级；公司亏损，主线为算力设备交付运维。</t>
  </si>
  <si>
    <t xml:space="preserve">AI眼镜模拟芯片</t>
  </si>
  <si>
    <t xml:space="preserve">688798</t>
  </si>
  <si>
    <t xml:space="preserve">艾为电子</t>
  </si>
  <si>
    <t xml:space="preserve">证据中强：2025年报披露公司高性能数模混合芯片覆盖音频功放、触觉反馈、马达驱动、压力/电容感应、灯效驱动等，SensorHub项目明确列示AI眼镜等IoT设备；另有AI眼镜客户导入音频功放、灯效驱动等公开信息。主板块保留AI眼镜模拟芯片，跟踪品牌客户放量和产品单机价值量。</t>
  </si>
  <si>
    <t xml:space="preserve">000034</t>
  </si>
  <si>
    <t xml:space="preserve">神州数码</t>
  </si>
  <si>
    <t xml:space="preserve">证据中强：2025年报披露AI相关业务收入330.3亿元、同比增长47.7%，神州鲲泰服务器基于鲲鹏CPU+昇腾NPU支持DeepSeek等大模型私有化部署，并开放国产技术栈AI智算OpenLab；主线是国产算力整机和方案。</t>
  </si>
  <si>
    <t xml:space="preserve">AIDC配电设备</t>
  </si>
  <si>
    <t xml:space="preserve">603861</t>
  </si>
  <si>
    <t xml:space="preserve">白云电器</t>
  </si>
  <si>
    <t xml:space="preserve">成套开关设备、变压器、无功补偿和中低压配电设备是主线，年报明确聚焦数据中心及智算中心，并推进一体化电源、HVDC、直流供配电、智能小母线等产品批量生产。主板块由中低压开关柜细化为AIDC配电设备。风险是智算中心订单兑现、传统电网/轨交业务波动、海外拓展和应收回款。证据A。</t>
  </si>
  <si>
    <t xml:space="preserve">数据中心液冷热管理</t>
  </si>
  <si>
    <t xml:space="preserve">002050</t>
  </si>
  <si>
    <t xml:space="preserve">三花智控</t>
  </si>
  <si>
    <t xml:space="preserve">证据中：2025年报披露制冷空调与汽车热管理为主业，公开资料显示公司积极开拓数据中心等新应用，核心产品包括阀、泵、换热器等；原“服务器风扇”不准确，改为数据中心液冷热管理，短期利润仍主要来自传统主业。</t>
  </si>
  <si>
    <t xml:space="preserve">智能穿戴SoC</t>
  </si>
  <si>
    <t xml:space="preserve">688049</t>
  </si>
  <si>
    <t xml:space="preserve">炬芯科技</t>
  </si>
  <si>
    <t xml:space="preserve">证据中强：2025年报摘要披露公司构建低功耗大算力芯片硬件架构、端侧AI开发工具和存内计算CIM，CPU+DSP+NPU架构提升端侧AI能效；智能穿戴SoC覆盖手表/手环、AI眼镜等，主板块保留智能穿戴SoC，AI眼镜属于穿戴场景扩展而非单独主线。</t>
  </si>
  <si>
    <t xml:space="preserve">002179</t>
  </si>
  <si>
    <t xml:space="preserve">中航光电</t>
  </si>
  <si>
    <t xml:space="preserve">数据中心产品矩阵覆盖电源、光传输、高速连接器/模组和液冷，高速背板、铜缆及标准接口是AI算力互连主线；主板块由大电流连接改为高速连接器，224G背板和液冷快接头并入备注，风险是防务底盘占比高、224G仍需验证、民品收入拆分有限。证据B。</t>
  </si>
  <si>
    <t xml:space="preserve">605277</t>
  </si>
  <si>
    <t xml:space="preserve">新亚电子</t>
  </si>
  <si>
    <t xml:space="preserve">证据强：2025年报披露高频高速铜缆连接线通过安费诺进入国内外领先服务器制造商与数据中心运营商供应链，主要应用GB系列等AI服务器，终端覆盖戴尔、惠普、谷歌、亚马逊、微软等。</t>
  </si>
  <si>
    <t xml:space="preserve">薄膜沉积设备</t>
  </si>
  <si>
    <t xml:space="preserve">688072</t>
  </si>
  <si>
    <t xml:space="preserve">拓荆科技</t>
  </si>
  <si>
    <t xml:space="preserve">证据强：2025年报显示PECVD、ALD、SACVD、HDPCVD等先进工艺设备在先进存储、先进逻辑规模化量产，在手订单较高；先进键合/三维集成设备已有突破但仍属扩展线，合并删减“先进封装设备”重复行。</t>
  </si>
  <si>
    <t xml:space="preserve">PDF文档AI</t>
  </si>
  <si>
    <t xml:space="preserve">688095</t>
  </si>
  <si>
    <t xml:space="preserve">福昕软件</t>
  </si>
  <si>
    <t xml:space="preserve">证据中强：公司核心仍是PDF/OFD版式文档软件，2025年营收高增并推进AI-Powered Research Agent、智能文档解析、结构化提取和私域知识库；主板块保留PDF文档AI。</t>
  </si>
  <si>
    <t xml:space="preserve">工商业储能系统</t>
  </si>
  <si>
    <t xml:space="preserve">688063</t>
  </si>
  <si>
    <t xml:space="preserve">派能科技</t>
  </si>
  <si>
    <t xml:space="preserve">证据中：2025年报显示公司储能产品出货和收入恢复增长，并提到AI算力爆发、数据中心和工商业园区等场景推动储能需求；但公司主业仍以户用/工商业储能为核心，数据中心客户和收入未单列，原数据中心储能降级为工商业储能系统。</t>
  </si>
  <si>
    <t xml:space="preserve">晶圆代工</t>
  </si>
  <si>
    <t xml:space="preserve">688981</t>
  </si>
  <si>
    <t xml:space="preserve">中芯国际</t>
  </si>
  <si>
    <t xml:space="preserve">证据强：2025年报披露公司为中国大陆集成电路晶圆代工领导者、全球纯晶圆代工第二，8英寸和12英寸产能及客户基础稳固；AI受益主要来自端侧AI、国产芯片供应链和本土代工需求，非直接GPU先进制程暴露。</t>
  </si>
  <si>
    <t xml:space="preserve">数据中心电力监控</t>
  </si>
  <si>
    <t xml:space="preserve">300286</t>
  </si>
  <si>
    <t xml:space="preserve">安科瑞</t>
  </si>
  <si>
    <t xml:space="preserve">公司是用户侧能效管理和用电安全系统集成商，投资者记录披露数据中心方案包括蓄电池监测、动环监控、谐波治理、无功补偿、智能小母线监控和精密配电管理。主板块由DCIM细化为数据中心电力监控，精密列头柜和数据中心母线并入备注。风险是项目型订单波动、海外开拓、软硬件集成毛利和数据中心收入占比披露不足。证据A/B。</t>
  </si>
  <si>
    <t xml:space="preserve">AI眼镜视觉算法</t>
  </si>
  <si>
    <t xml:space="preserve">688088</t>
  </si>
  <si>
    <t xml:space="preserve">虹软科技</t>
  </si>
  <si>
    <t xml:space="preserve">证据强：2025年报/业绩快报披露AI眼镜影像与视觉算法持续升级，围绕复杂光照、动态场景、低照度和视频防抖推进平台适配；公开资料显示方案已在雷鸟、Rokid、夸克等AI眼镜落地。删减“端侧视觉AI底座”重复行，保留最直接的AI眼镜视觉算法。</t>
  </si>
  <si>
    <t xml:space="preserve">AIOS端侧智能</t>
  </si>
  <si>
    <t xml:space="preserve">300496</t>
  </si>
  <si>
    <t xml:space="preserve">中科创达</t>
  </si>
  <si>
    <t xml:space="preserve">证据强：2025年报披露公司以AIOS为核心战略，覆盖端云协同、AI智能体和行业AI，并在智能汽车、AI眼镜、机器人等端侧场景落地；主板块由端侧智能OS升级为AIOS端侧智能。</t>
  </si>
  <si>
    <t xml:space="preserve">AI安全</t>
  </si>
  <si>
    <t xml:space="preserve">601360</t>
  </si>
  <si>
    <t xml:space="preserve">三六零</t>
  </si>
  <si>
    <t xml:space="preserve">证据中强：2025年报/半年报披露自研AI大模型驱动互联网产品，同时360安全大模型已在大量用户真实环境测试、应用与交付；主板块由宽泛360大模型收敛为360安全大模型。</t>
  </si>
  <si>
    <t xml:space="preserve">002130</t>
  </si>
  <si>
    <t xml:space="preserve">沃尔核材</t>
  </si>
  <si>
    <t xml:space="preserve">通信线缆业务中高速通信线收入已明显放量，单通道224G产品稳定交付，448G样品验证、PCIe7.0小批量试产；主板块由高速连接器改为高速铜互连，EMI屏蔽仅作材料延伸不单列，风险是核心设备、客户认证和价格竞争。证据A。</t>
  </si>
  <si>
    <t xml:space="preserve">300458</t>
  </si>
  <si>
    <t xml:space="preserve">全志科技</t>
  </si>
  <si>
    <t xml:space="preserve">证据中强：2025年报披露公司实现CPU、GPU、NPU、DSP及RISC-V协处理器复杂异构芯片规模化量产，智能终端应用处理器是核心业务；删减AI眼镜应用处理器重复行，AI眼镜只是下游应用之一，主板块保留端侧AI SoC。</t>
  </si>
  <si>
    <t xml:space="preserve">002028</t>
  </si>
  <si>
    <t xml:space="preserve">思源电气</t>
  </si>
  <si>
    <t xml:space="preserve">GIS、开关、变压器、保护自动化和电力电子产品构成输配电设备平台，AI数据中心拉动来自并网、园区供电、储能/超级电容和全球电网升级；主板块由数据中心电力收敛为输变电设备，电网自动化并入备注。风险是数据中心订单占比未单独披露、海外交付、毛利率和电力电子竞争。证据A/B。</t>
  </si>
  <si>
    <t xml:space="preserve">国产算力大模型底座</t>
  </si>
  <si>
    <t xml:space="preserve">002230</t>
  </si>
  <si>
    <t xml:space="preserve">科大讯飞</t>
  </si>
  <si>
    <t xml:space="preserve">证据强：2025年报披露讯飞星火持续基于全国产算力训练并推进X1/X1.5等推理模型，2025年大模型相关项目中标金额领先；行业大模型与AI开放平台是商业化路径，合并降级到备注。</t>
  </si>
  <si>
    <t xml:space="preserve">002439</t>
  </si>
  <si>
    <t xml:space="preserve">启明星辰</t>
  </si>
  <si>
    <t xml:space="preserve">证据强：2025年报披露以AI+安全为核心，推出大模型应用防火墙、访问安全代理、评估系统、脱敏罩、水印及拦截清洗等矩阵；由泛AI安全收敛为大模型应用安全防护。</t>
  </si>
  <si>
    <t xml:space="preserve">晶圆传输设备</t>
  </si>
  <si>
    <t xml:space="preserve">300024</t>
  </si>
  <si>
    <t xml:space="preserve">机器人</t>
  </si>
  <si>
    <t xml:space="preserve">证据中强：2025年报显示公司半导体装备业务围绕晶圆搬运、真空机器人、EFEM、Load Port等产品，服务前道和后道设备厂商；原“半导体AMHS”过宽，主板块收敛为晶圆传输设备，AI受益来自国产半导体设备配套。</t>
  </si>
  <si>
    <t xml:space="preserve">300454</t>
  </si>
  <si>
    <t xml:space="preserve">深信服</t>
  </si>
  <si>
    <t xml:space="preserve">证据强：2025年报披露AI安全平台以安全数据和模型底座为核心，结合安全GPT大模型，覆盖安全运营、零信任、数据安全、终端安全；AI算力网关和办公助手为辅线。</t>
  </si>
  <si>
    <t xml:space="preserve">000063</t>
  </si>
  <si>
    <t xml:space="preserve">中兴通讯</t>
  </si>
  <si>
    <t xml:space="preserve">证据强：2025年报及公司新闻披露算力业务收入同比约150%，服务器及存储同比超200%，数据中心产品同比增长；公司以自研AI大容量交换芯片支撑智算超节点和万卡级智算中心，主板块从交换机扩展为智算网络设备。</t>
  </si>
  <si>
    <t xml:space="preserve">AI终端精密功能件</t>
  </si>
  <si>
    <t xml:space="preserve">002600</t>
  </si>
  <si>
    <t xml:space="preserve">领益智造</t>
  </si>
  <si>
    <t xml:space="preserve">证据强：2025年报摘要披露公司核心产品覆盖AI手机、AIPC、AI眼镜及XR可穿戴、AI服务器、机器人等硬件，以2024年收入计在全球AI终端高精密功能件行业排名第一；半年报披露AR眼镜项目含MicroOLED显示、Insert Molding金属件增强等。主板块从精密结构件扩展为AI终端精密功能件。</t>
  </si>
  <si>
    <t xml:space="preserve">中低压开关柜</t>
  </si>
  <si>
    <t xml:space="preserve">300444</t>
  </si>
  <si>
    <t xml:space="preserve">双杰电气</t>
  </si>
  <si>
    <t xml:space="preserve">公司核心为配电设备、变压器、箱变和新能源智能装备，高低压成套开关柜具备迁移到数据中心配电的可能；但公开资料中AI数据中心客户和订单证据不足，当前业绩更多来自新能源建设开发和电气设备。主板块保留中低压开关柜，AI链定位为低证据配电设备观察。风险是新能源EPC毛利、订单结构、数据中心客户导入和现金流。证据C。</t>
  </si>
  <si>
    <t xml:space="preserve">OLED-MicroLED显示</t>
  </si>
  <si>
    <t xml:space="preserve">002387</t>
  </si>
  <si>
    <t xml:space="preserve">维信诺</t>
  </si>
  <si>
    <t xml:space="preserve">证据中：2025年报披露维信诺围绕AI新场景推进智能终端、智能影像、智慧家居等显示供货，并持续推进ViP、Micro-LED等显示技术；真实受益节点是AI终端显示，MicroLED更多体现技术储备和参股生态。</t>
  </si>
  <si>
    <t xml:space="preserve">002472</t>
  </si>
  <si>
    <t xml:space="preserve">双环传动</t>
  </si>
  <si>
    <t xml:space="preserve">证据中强：2025年报披露工业机器人核心零部件减速器趋势向好，公司在重载RV精密减速器领域攻克高精度、长寿命核心技术；控股子公司从事机器人关节高精密减速器研发生产，产品包括RV减速器、精密配件及谐波减速器。主板块从机器人减速器细化为机器人高精密减速器，风险是汽车齿轮仍是主要利润来源。</t>
  </si>
  <si>
    <t xml:space="preserve">医疗信息化大模型</t>
  </si>
  <si>
    <t xml:space="preserve">300253</t>
  </si>
  <si>
    <t xml:space="preserve">卫宁健康</t>
  </si>
  <si>
    <t xml:space="preserve">证据强但业绩承压：2025年报/半年报披露公司发布WiNGPT医疗大模型和WiNEX Copilot，覆盖文书生成、病历质控、诊中决策、报告解读、护理评估等场景，并在多家医疗机构部署；主线为医疗信息化大模型而非通用医疗AI。</t>
  </si>
  <si>
    <t xml:space="preserve">问财金融投研AI</t>
  </si>
  <si>
    <t xml:space="preserve">300033</t>
  </si>
  <si>
    <t xml:space="preserve">同花顺</t>
  </si>
  <si>
    <t xml:space="preserve">证据强：2025财务决算披露公司持续加大AI研发、自研大模型并提升金融专业场景准确性，叠加营收和净利高增；AI变现依托问财/投研助手和金融信息服务，主线细化为问财金融投研AI。</t>
  </si>
  <si>
    <t xml:space="preserve">688213</t>
  </si>
  <si>
    <t xml:space="preserve">思特威</t>
  </si>
  <si>
    <t xml:space="preserve">证据强：2025年报披露公司推出1200万像素AI眼镜应用CMOS图像传感器SC1200IOT，官网还披露SC1200IOT/SC1220IOT具备小封装、低功耗、高感度、Always-On等特性，适用于AI眼镜及AR/VR微型摄像头模组；主板块保留AI眼镜CIS，跟踪量产客户和高像素新品。</t>
  </si>
  <si>
    <t xml:space="preserve">300308</t>
  </si>
  <si>
    <t xml:space="preserve">中际旭创</t>
  </si>
  <si>
    <t xml:space="preserve">全球高速光模块龙头，2025年营收382.40亿元、归母净利107.97亿元，高速光模块、800G/1.6T放量已兑现；主板块保留高速光模块，风险是估值拥挤、客户集中、年降和物料约束。证据A。</t>
  </si>
  <si>
    <t xml:space="preserve">600089</t>
  </si>
  <si>
    <t xml:space="preserve">特变电工</t>
  </si>
  <si>
    <t xml:space="preserve">大型变压器、电抗器、特高压和线缆是电网与大型电力基础设施主设备，AI数据中心电力扩容属于间接受益增量；公司盈利还受多晶硅、煤炭、新能源电站等周期业务影响。主板块由数据中心电力改为输变电主设备，风险是数据中心收入不透明、周期业务拖累、海外订单执行和原材料价格。证据B/C。</t>
  </si>
  <si>
    <t xml:space="preserve">AI眼镜MicroLED光机</t>
  </si>
  <si>
    <t xml:space="preserve">300296</t>
  </si>
  <si>
    <t xml:space="preserve">利亚德</t>
  </si>
  <si>
    <t xml:space="preserve">证据中强：2025年度总经理工作报告披露公司已推出基于MicroLED光机的AR眼镜，并发布AI玩具等大众消费AI创新产品；MicroLED仍是新战略周期重点增长方向。主板块保留AI眼镜MicroLED光机，风险是公司收入主体仍为LED显示和文旅，AI眼镜商业化仍早期。</t>
  </si>
  <si>
    <t xml:space="preserve">AI患者追踪系统</t>
  </si>
  <si>
    <t xml:space="preserve">300451</t>
  </si>
  <si>
    <t xml:space="preserve">创业慧康</t>
  </si>
  <si>
    <t xml:space="preserve">证据中强但基本面承压：2025年报披露公司以AI技术创新驱动医疗场景落地，AI关键患者追踪系统APTS以医疗大模型为底座筛查高危患者并开展分级追踪；医疗大模型概念收敛为更具体的AI患者追踪系统。</t>
  </si>
  <si>
    <t xml:space="preserve">AI智能终端ODM</t>
  </si>
  <si>
    <t xml:space="preserve">603341</t>
  </si>
  <si>
    <t xml:space="preserve">龙旗科技</t>
  </si>
  <si>
    <t xml:space="preserve">证据中强：2025年报披露AI PC实现全平台产品设计与量产落地并获得全球头部客户订单，智能眼镜实现多场景、多品类规模化量产，AIoT业务覆盖智能手表/手环和智能眼镜；主板块从智能终端ODM细化为AI智能终端ODM。风险是手机/平板仍占大盘，新业务弹性需看AI PC、智能眼镜收入占比和毛利。</t>
  </si>
  <si>
    <t xml:space="preserve">AI眼镜结构件</t>
  </si>
  <si>
    <t xml:space="preserve">300115</t>
  </si>
  <si>
    <t xml:space="preserve">长盈精密</t>
  </si>
  <si>
    <t xml:space="preserve">证据中强：2025年报摘要披露公司抓住AI硬件迭代机遇，持续开发AI笔记本和可穿戴产品关键零部件，轻量化金属及非金属结构件取得突破；AI眼镜结构件面向头部客户是主要弹性来源。主板块保留AI眼镜结构件，风险是消费电子结构件仍具客户集中和价格压力。</t>
  </si>
  <si>
    <t xml:space="preserve">600745</t>
  </si>
  <si>
    <t xml:space="preserve">闻泰科技</t>
  </si>
  <si>
    <t xml:space="preserve">证据中强：2025年报披露MOSFET等进入全球头部AI服务器/AI PC ODM供应体系，AI服务器价值量高于传统云服务器；但安世境外控制权受限、审计意见和ST风险显著，保留AI服务器功率半导体并强化风险备注。</t>
  </si>
  <si>
    <t xml:space="preserve">半导体检测量测设备</t>
  </si>
  <si>
    <t xml:space="preserve">688361</t>
  </si>
  <si>
    <t xml:space="preserve">中科飞测</t>
  </si>
  <si>
    <t xml:space="preserve">证据强：2025年报披露检测设备和量测设备收入增长，暗场纳米图形晶圆缺陷检测、无图形晶圆缺陷检测、套刻精度量测等产品贡献提升，并拓展电子束/X光技术；先进封装X-Ray作为能力补充并入备注，删除重复行。</t>
  </si>
  <si>
    <t xml:space="preserve">储能电池</t>
  </si>
  <si>
    <t xml:space="preserve">300014</t>
  </si>
  <si>
    <t xml:space="preserve">亿纬锂能</t>
  </si>
  <si>
    <t xml:space="preserve">证据中强：2025年报显示公司储能出货快速增长、储能电池产品定义行业标杆，大容量磷酸铁锂储能电池是主要弹性来源；数据中心/AIDC是储能下游增量场景之一，但未见单列客户或收入，故由数据中心储能收敛为储能电池。</t>
  </si>
  <si>
    <t xml:space="preserve">国产GPU芯片</t>
  </si>
  <si>
    <t xml:space="preserve">300474</t>
  </si>
  <si>
    <t xml:space="preserve">景嘉微</t>
  </si>
  <si>
    <t xml:space="preserve">证据中：2025年报披露公司推进“高性能GPU+边端侧AI SoC芯片”双轮驱动，景宏系列智算模块及整机产品瞄准AI训练和推理；删减“AI推理板卡”重复行，当前仍以国产GPU芯片为主线，亏损和商业化规模是主要风险。</t>
  </si>
  <si>
    <t xml:space="preserve">IDC及算力租赁</t>
  </si>
  <si>
    <t xml:space="preserve">300738</t>
  </si>
  <si>
    <t xml:space="preserve">奥飞数据</t>
  </si>
  <si>
    <t xml:space="preserve">证据中：2025年报披露业务为IDC及互联网综合服务，报告期新项目投产并继续推进算力租赁和相关设备销售；AI链受益来自机柜上架和算力需求，保留IDC及算力租赁。</t>
  </si>
  <si>
    <t xml:space="preserve">688023</t>
  </si>
  <si>
    <t xml:space="preserve">安恒信息</t>
  </si>
  <si>
    <t xml:space="preserve">证据强：2025年报披露恒脑安全垂域大模型支持多参数模型、量化、软硬一体/SaaS交付并上线智能体商城；AI数据分类分级是恒脑体系的应用场景，合并降级到备注。</t>
  </si>
  <si>
    <t xml:space="preserve">CMP与减薄设备</t>
  </si>
  <si>
    <t xml:space="preserve">688120</t>
  </si>
  <si>
    <t xml:space="preserve">华海清科</t>
  </si>
  <si>
    <t xml:space="preserve">证据强：2025年报披露公司CMP装备市场地位稳固，并突破先进封装减薄抛光设备、离子注入等新产品，CMP、减薄、划切、边抛等覆盖先进制程/先进封装/HBM需求；合并删减“晶圆减薄”重复行。</t>
  </si>
  <si>
    <t xml:space="preserve">机器人伺服驱动</t>
  </si>
  <si>
    <t xml:space="preserve">300124</t>
  </si>
  <si>
    <t xml:space="preserve">汇川技术</t>
  </si>
  <si>
    <t xml:space="preserve">证据强：2025年报披露人形机器人业务已完成从预研到商业化突破，构建核心部件全栈能力，完成无框力矩电机、低压高功率伺服驱动器、关节模组、行星滚柱丝杠、编码器等第一代产品开发和交付；删减“机器人直线导轨-丝杠”重复行，保留最能体现汇川运动控制优势的机器人伺服驱动。</t>
  </si>
  <si>
    <t xml:space="preserve">AI智能眼镜整机</t>
  </si>
  <si>
    <t xml:space="preserve">002241</t>
  </si>
  <si>
    <t xml:space="preserve">歌尔股份</t>
  </si>
  <si>
    <t xml:space="preserve">证据中强：2025年报披露公司研发围绕MEMS声学传感器、微系统模组、AI智能眼镜/AR光学器件、MR头显等，AI智能眼镜等新兴业务表现亮眼；作为精密零组件+整机制造平台，主板块保留AI智能眼镜整机，光学、声学、SiP模组作为支撑能力写入备注即可。风险是营收仍受传统消费电子/XR周期影响。</t>
  </si>
  <si>
    <t xml:space="preserve">300369</t>
  </si>
  <si>
    <t xml:space="preserve">绿盟科技</t>
  </si>
  <si>
    <t xml:space="preserve">证据强：2025年报披露清风卫AI安全系列覆盖评估、防护、响应，并推出AI全生命周期安全测评和备案服务，国家级攻防演练AI内容安全赛道表现突出；保留清风卫AI安全。</t>
  </si>
  <si>
    <t xml:space="preserve">能源物联网</t>
  </si>
  <si>
    <t xml:space="preserve">688100</t>
  </si>
  <si>
    <t xml:space="preserve">威胜信息</t>
  </si>
  <si>
    <t xml:space="preserve">公司主线是能源数字化、用电信息采集、通信模块和电力物联网解决方案，受益配用电数字化和新型电力系统建设；数据中心精细化电力监控属于间接映射，缺少DCIM专项收入和客户证据。主板块由DCIM改为能源物联网。风险是国网/南网招标节奏、海外项目、芯片/模块毛利和数据中心场景纯度不足。证据B/C。</t>
  </si>
  <si>
    <t xml:space="preserve">603296</t>
  </si>
  <si>
    <t xml:space="preserve">华勤技术</t>
  </si>
  <si>
    <t xml:space="preserve">证据强：2025年报披露华勤数据中心业务形成AI服务器、通用服务器、交换机等全栈产品组合，数据中心业务收入754.75亿元、同比增长51.93%；主板块保留AI服务器ODM，AI PC和终端ODM作为附属受益。</t>
  </si>
  <si>
    <t xml:space="preserve">端侧AI模组</t>
  </si>
  <si>
    <t xml:space="preserve">300638</t>
  </si>
  <si>
    <t xml:space="preserve">广和通</t>
  </si>
  <si>
    <t xml:space="preserve">证据强：2025年报披露公司发布Fibocom AI Stack端侧AI解决方案及覆盖1T-50T算力的“星云”AI模组矩阵，支持不同参数端侧大模型部署，应用于AI玩具、机器人等终端；主板块保留端侧AI模组，跟踪星云系列出货、AI解决方案收入占比和客户落地。</t>
  </si>
  <si>
    <t xml:space="preserve">数据中心消防</t>
  </si>
  <si>
    <t xml:space="preserve">002960</t>
  </si>
  <si>
    <t xml:space="preserve">青鸟消防</t>
  </si>
  <si>
    <t xml:space="preserve">消防报警、智慧消防、储能消防和数据中心消防方案齐全，2025年报披露数据中心消防业务发货额超1.7亿元并受益智算中心与大型IDC项目密集投建；储能消防为另一高景气增量。主板块保留数据中心消防。风险是消防新旧国标切换、价格竞争、数据中心项目交付节奏和海外认证。证据A。</t>
  </si>
  <si>
    <t xml:space="preserve">AIDC低压电器</t>
  </si>
  <si>
    <t xml:space="preserve">601877</t>
  </si>
  <si>
    <t xml:space="preserve">正泰电器</t>
  </si>
  <si>
    <t xml:space="preserve">低压电器龙头，低压电器业务收入规模大，年报将新能源、数据中心、通信等列为低压电器增长新动能；但公开资料未充分拆出数据中心订单和收入占比。主板块由中低压开关柜收敛为低压电器，高压直流保护并入备注并降级为产品方向。风险是光伏业务波动、数据中心纯度不足、海外竞争和渠道库存。证据B/C。</t>
  </si>
  <si>
    <t xml:space="preserve">IDC云计算基础设施</t>
  </si>
  <si>
    <t xml:space="preserve">300383</t>
  </si>
  <si>
    <t xml:space="preserve">光环新网</t>
  </si>
  <si>
    <t xml:space="preserve">证据中：2025年报披露主营仍是IDC及云计算，AI爆发带动数据中心与云计算需求，并与格灵深瞳合作AI+行业智算云；直接算力运营收入未充分拆分，保留IDC云计算基础设施。</t>
  </si>
  <si>
    <t xml:space="preserve">激光加工AI工艺优化</t>
  </si>
  <si>
    <t xml:space="preserve">688188</t>
  </si>
  <si>
    <t xml:space="preserve">柏楚电子</t>
  </si>
  <si>
    <t xml:space="preserve">证据强：2025年报披露公司在金属成型中基于自研AI模型实现切割断面自动采集与闭环工艺调试，并推进智能焊接、视觉识别和多机协同；主板块由工艺专家库细化为激光加工AI工艺优化。</t>
  </si>
  <si>
    <t xml:space="preserve">301165</t>
  </si>
  <si>
    <t xml:space="preserve">锐捷网络</t>
  </si>
  <si>
    <t xml:space="preserve">证据强：2025年报披露AI智算中心网络方案已服务中国移动、阿里、字节、百度、腾讯等训练/推理大模型场景，数据中心交换机订单加速交付；IDC数据显示中国数据中心交换机市占率第三。</t>
  </si>
  <si>
    <t xml:space="preserve">AI智能眼镜电池</t>
  </si>
  <si>
    <t xml:space="preserve">001283</t>
  </si>
  <si>
    <t xml:space="preserve">豪鹏科技</t>
  </si>
  <si>
    <t xml:space="preserve">证据中强：2025年报/公开资料披露公司布局AI智能眼镜电池，固态电池样品在AI终端、可穿戴设备等场景完成初步验证；删减“AI终端固态电池”重复行，当前主线仍是AI智能眼镜电池，固态电池属于下一代技术储备而非已验证主收入板块。</t>
  </si>
  <si>
    <t xml:space="preserve">000400</t>
  </si>
  <si>
    <t xml:space="preserve">许继电气</t>
  </si>
  <si>
    <t xml:space="preserve">电力自动化、保护控制、换流输配电设备和电能质量治理是主线，AI数据中心映射在园区配电可靠性、无功补偿、电能质量和并网控制；主板块保留电网自动化，电能质量并入备注。风险是营收增速承压、EPC业务压缩、数据中心直接订单披露不足和国网招标节奏。证据B/C。</t>
  </si>
  <si>
    <t xml:space="preserve">AI数据库</t>
  </si>
  <si>
    <t xml:space="preserve">688692</t>
  </si>
  <si>
    <t xml:space="preserve">达梦数据</t>
  </si>
  <si>
    <t xml:space="preserve">证据强：2025年报显示软件产品使用授权仍是核心收入引擎，公司围绕数据库、云计算、大数据、AI相关产品和数据库一体机形成全栈布局；合并“全栈数据产品”，主板块保留AI数据库。</t>
  </si>
  <si>
    <t xml:space="preserve">688099</t>
  </si>
  <si>
    <t xml:space="preserve">晶晨股份</t>
  </si>
  <si>
    <t xml:space="preserve">证据中强：2025年报披露智能多媒体及显示SoC仍是核心收入来源，AIoT SoC收入16.40亿元、同比增长8.50%，AIoT SoC集成NPU、DSP、视觉处理单元、ISP及编解码器并获Google EDLA认证；主板块从端侧AIoT SoC收敛为端侧AI SoC，跟踪端侧大模型适配、头部客户新品和经营现金流修复。</t>
  </si>
  <si>
    <t xml:space="preserve">688561</t>
  </si>
  <si>
    <t xml:space="preserve">奇安信</t>
  </si>
  <si>
    <t xml:space="preserve">证据强：2025年报披露AISOC、AI+代码卫士、大模型卫士等AI安全新品在客户侧验证并转化收入，覆盖安全运营、检测、数据、代码、攻防智能体；由泛AI安全收敛为AI安全智能体。</t>
  </si>
  <si>
    <t xml:space="preserve">600885</t>
  </si>
  <si>
    <t xml:space="preserve">宏发股份</t>
  </si>
  <si>
    <t xml:space="preserve">证据中强：2025年报显示公司为全球继电器龙头，高压直流业务受新能源车、储能等拉动并拓展数据中心等场景；互动平台披露高压直流继电器及配套产品可用于数据中心高压直流供电系统。AI链条真实但收入未单列，合并删减“高压直流保护”重复行。</t>
  </si>
  <si>
    <t xml:space="preserve">高端薄膜电容</t>
  </si>
  <si>
    <t xml:space="preserve">600563</t>
  </si>
  <si>
    <t xml:space="preserve">法拉电子</t>
  </si>
  <si>
    <t xml:space="preserve">证据中强：2025年报披露薄膜电容为绝对主业且营收、净利稳增；AI数据中心800V HVDC/服务器电源是增量场景但公开客户订单不强，主板块从泛高端电容收敛为高端薄膜电容。</t>
  </si>
  <si>
    <t xml:space="preserve">002475</t>
  </si>
  <si>
    <t xml:space="preserve">立讯精密</t>
  </si>
  <si>
    <t xml:space="preserve">数据中心业务覆盖DAC/ACC等高速铜缆、背板连接器、光模块、电源和热管理，AI算力最直接映射是铜光电热平台中的高速互连；主板块由高速连接器改为高速铜互连，大电流和224G背板降级进备注，风险是平台业务口径大、客户节奏和毛利兑现。证据A。</t>
  </si>
  <si>
    <t xml:space="preserve">600406</t>
  </si>
  <si>
    <t xml:space="preserve">国电南瑞</t>
  </si>
  <si>
    <t xml:space="preserve">电网调度自动化、继电保护、变电站自动化和数能融合平台是核心，AI数据中心电力瓶颈传导到并网调度、能源管理和数字化管控；主板块保留电网自动化，DCIM并入备注并降级为数据中心能源管理场景。风险是数据中心项目占比、国网投资节奏、软件平台竞争和项目验收周期。证据A/B。</t>
  </si>
  <si>
    <t xml:space="preserve">002706</t>
  </si>
  <si>
    <t xml:space="preserve">良信股份</t>
  </si>
  <si>
    <t xml:space="preserve">低压电器和智能配电方案是主业，年报披露产品广泛应用于智算中心，智算中心/电网/工控等数字能源业务约占收入20%；投资者记录显示数据中心当前集中在HVDC、UPS等配电设备。主板块由中低压开关柜细化为AIDC低压电器，高压直流保护和数据中心母线并入备注。风险是金属材料成本、数据中心客户放量、海外算力项目认证和毛利率修复。证据A/B。</t>
  </si>
  <si>
    <t xml:space="preserve">硅基OLED微显示</t>
  </si>
  <si>
    <t xml:space="preserve">688496</t>
  </si>
  <si>
    <t xml:space="preserve">清越科技</t>
  </si>
  <si>
    <t xml:space="preserve">证据中：2025年报披露公司形成PMOLED、电子纸模组与硅基OLED微显示器三大业务，硅基OLED用于AR智能眼镜、VR头显等近眼显示；Micro-OLED高亮高效结构器件等项目继续推进。主板块保留硅基OLED微显示，但公司2025亏损扩大，需跟踪硅基OLED量产客户和盈利拐点。</t>
  </si>
  <si>
    <t xml:space="preserve">AI办公Agent</t>
  </si>
  <si>
    <t xml:space="preserve">688111</t>
  </si>
  <si>
    <t xml:space="preserve">金山办公</t>
  </si>
  <si>
    <t xml:space="preserve">证据强：2025年报披露WPS AI政务版、企业知识库、可信溯源和私有化部署等能力，WPS 365持续向企业级智能办公平台演进；企业知识库是AI办公Agent底座能力，合并到备注。</t>
  </si>
  <si>
    <t xml:space="preserve">IDC</t>
  </si>
  <si>
    <t xml:space="preserve">600845</t>
  </si>
  <si>
    <t xml:space="preserve">宝信软件</t>
  </si>
  <si>
    <t xml:space="preserve">工业软件和IDC双主业，宝之云IDC、华北基地、人工智能算力资源池等资产构成算力基础设施运营侧真实映射；DCIM不是公司最核心的AI受益解释。主板块由DCIM改为IDC，原IDC重复行合并删除。风险是钢铁行业软件需求承压、IDC资本开支和上架率、电力成本、AI算力资源池回报周期。证据A/B。</t>
  </si>
  <si>
    <t xml:space="preserve">保险IT AI应用</t>
  </si>
  <si>
    <t xml:space="preserve">603927</t>
  </si>
  <si>
    <t xml:space="preserve">中科软</t>
  </si>
  <si>
    <t xml:space="preserve">证据中强：2025年报披露公司聚焦行业应用软件开发，保险IT解决方案市场占有率持续领先，并继续深耕保险、医疗卫生及政务等重点行业AI应用；主线保留保险IT AI应用，政务AI办公智能体并入备注不单列。</t>
  </si>
  <si>
    <t xml:space="preserve">数据中心储能</t>
  </si>
  <si>
    <t xml:space="preserve">300750</t>
  </si>
  <si>
    <t xml:space="preserve">宁德时代</t>
  </si>
  <si>
    <t xml:space="preserve">证据中：2025年报/公司公告显示宁德时代储能业务和零碳场景持续扩张，并将电动化边界延伸至数据中心等多元场景；但公司收入主轴仍是动力电池和通用储能，AIDC储能收入未单列，按数据中心储能保留但标注为增量场景。</t>
  </si>
  <si>
    <t xml:space="preserve">消费锂电池</t>
  </si>
  <si>
    <t xml:space="preserve">688772</t>
  </si>
  <si>
    <t xml:space="preserve">珠海冠宇</t>
  </si>
  <si>
    <t xml:space="preserve">证据中：2025年报披露公司主营消费类锂离子电池，AI功能消费电子推出有望带来换机潮，消费类半固态电池已规模化量产；募集说明书提及智能手表、智能眼镜等可穿戴需求扩张。主板块保留消费锂电池，AI受益偏终端电池供能配套，直接度低于AI眼镜专用电池公司。</t>
  </si>
  <si>
    <t xml:space="preserve">AI医学影像设备</t>
  </si>
  <si>
    <t xml:space="preserve">688271</t>
  </si>
  <si>
    <t xml:space="preserve">联影医疗</t>
  </si>
  <si>
    <t xml:space="preserve">证据强：2025年报披露公司医学影像与放疗设备收入创新高，并推进设备+AI在医学影像诊疗和治疗场景落地，原生智能超声、光子计数CT、双宽体双源CT等高端产品放量；主板块保留医疗影像AI并细化为AI医学影像设备。</t>
  </si>
  <si>
    <t xml:space="preserve">AIDC储能电池系统</t>
  </si>
  <si>
    <t xml:space="preserve">300207</t>
  </si>
  <si>
    <t xml:space="preserve">欣旺达</t>
  </si>
  <si>
    <t xml:space="preserve">证据强：2025年报明确生成式AI推动AIDC规模扩张，公司将推出适配AIDC的锂电池产品，搭载6C/10C高倍率电池系统与800V高压架构，覆盖大型储能、园区备电、机柜备电和BBU毫秒级备电；利润短期受诉讼和汇兑扰动。</t>
  </si>
  <si>
    <t xml:space="preserve">301030</t>
  </si>
  <si>
    <t xml:space="preserve">仕净科技</t>
  </si>
  <si>
    <t xml:space="preserve">证据弱中：公司有泛半导体/光伏等制程污染防控与废气处理经验，但2025年受光伏客户和资产减值拖累出现大额亏损，半导体AI链条订单和收入证据不足；保留工艺废气处理，但在备注中降级为观察型厂务环保标的。</t>
  </si>
  <si>
    <t xml:space="preserve">601100</t>
  </si>
  <si>
    <t xml:space="preserve">恒立液压</t>
  </si>
  <si>
    <t xml:space="preserve">证据中：2025年报披露线性驱动项目投产，精密丝杠、直线导轨、电动缸等产品拓展；行星滚柱丝杠已完成送样和初步量产，为精密传动业务开拓机器人等多元下游市场。主板块保留行星滚柱丝杠，但公司基本盘仍是液压件，机器人弹性需看丝杠客户验证、量产节奏和收入占比。</t>
  </si>
  <si>
    <t xml:space="preserve">600710</t>
  </si>
  <si>
    <t xml:space="preserve">苏美达</t>
  </si>
  <si>
    <t xml:space="preserve">证据强：2025年报披露柴油发电机组收入16.77亿元、同比增长41.56%，核心需求来自算力中心、数据中心、运营商和工业企业备用电源；但公司还有供应链、纺服、船舶等大盘业务，AI弹性需看发电机组占比、毛利和订单持续性。</t>
  </si>
  <si>
    <t xml:space="preserve">603606</t>
  </si>
  <si>
    <t xml:space="preserve">东方电缆</t>
  </si>
  <si>
    <t xml:space="preserve">公司强项是海缆、高压电缆和电力工程线缆，真实业绩弹性主要来自海风、海缆出海和电力互联；AI数据中心只通过电力基础设施扩建间接受益。主板块由电力电缆细化为高压电缆，风险是数据中心直接关联弱、海风交付节奏、应收和项目毛利波动。证据B/C。</t>
  </si>
  <si>
    <t xml:space="preserve">AI眼镜主控SoC</t>
  </si>
  <si>
    <t xml:space="preserve">688608</t>
  </si>
  <si>
    <t xml:space="preserve">恒玄科技</t>
  </si>
  <si>
    <t xml:space="preserve">证据强：2025年报披露公司主营低功耗无线计算SoC，芯片集成CPU、嵌入式NPU、ISP、DSP、蓝牙/Wi-Fi等模块；BES6100面向智能眼镜等低功耗终端，6nm工艺，集成多核Cortex-A、NPU、GPU，可运行Linux/Android并支持端侧AI推理。风险是AI眼镜SoC仍处放量早期，需跟踪客户导入和量产节奏。</t>
  </si>
  <si>
    <t xml:space="preserve">430139</t>
  </si>
  <si>
    <t xml:space="preserve">华岭股份</t>
  </si>
  <si>
    <t xml:space="preserve">未找到通达信日线文件</t>
  </si>
  <si>
    <t xml:space="preserve">证据中：2025年报显示测试服务仍为核心收入来源，并建设高算力应用芯片开放式测试创新服务平台；但公司2025年亏损扩大，AI/高算力测试仍处研发和客户拓展阶段，主线保留半导体测试服务，备注降级AI兑现强度。</t>
  </si>
  <si>
    <t xml:space="preserve">最高点日期</t>
  </si>
  <si>
    <t xml:space="preserve">06/07前复权最高日内价</t>
  </si>
  <si>
    <t xml:space="preserve">最低点日期</t>
  </si>
  <si>
    <t xml:space="preserve">07月前复权最低日内价</t>
  </si>
  <si>
    <t xml:space="preserve">来源</t>
  </si>
  <si>
    <t xml:space="preserve">复权序列</t>
  </si>
  <si>
    <t xml:space="preserve">6/7记录数</t>
  </si>
  <si>
    <t xml:space="preserve">7月记录数</t>
  </si>
  <si>
    <t xml:space="preserve">未覆盖交易日</t>
  </si>
  <si>
    <t xml:space="preserve">2026-06-25</t>
  </si>
  <si>
    <t xml:space="preserve">2026-07-21</t>
  </si>
  <si>
    <t xml:space="preserve">腾讯财经 fqkline qfq（前复权）；https://web.ifzq.gtimg.cn/appstock/app/fqkline/get；读取日期 2026-08-09</t>
  </si>
  <si>
    <t xml:space="preserve">qfqday</t>
  </si>
  <si>
    <t xml:space="preserve">2026-07-02</t>
  </si>
  <si>
    <t xml:space="preserve">2026-06-01</t>
  </si>
  <si>
    <t xml:space="preserve">2026-07-30</t>
  </si>
  <si>
    <t xml:space="preserve">2026-06-24</t>
  </si>
  <si>
    <t xml:space="preserve">2026-07-01</t>
  </si>
  <si>
    <t xml:space="preserve">2026-06-22</t>
  </si>
  <si>
    <t xml:space="preserve">2026-06-18</t>
  </si>
  <si>
    <t xml:space="preserve">2026-06-17</t>
  </si>
  <si>
    <t xml:space="preserve">2026-06-05</t>
  </si>
  <si>
    <t xml:space="preserve">2026-06-26</t>
  </si>
  <si>
    <t xml:space="preserve">2026-06-16</t>
  </si>
  <si>
    <t xml:space="preserve">2026-06-30</t>
  </si>
  <si>
    <t xml:space="preserve">2026-06-23</t>
  </si>
  <si>
    <t xml:space="preserve">2026-06-03</t>
  </si>
  <si>
    <t xml:space="preserve">2026-07-03</t>
  </si>
  <si>
    <t xml:space="preserve">2026-07-10</t>
  </si>
  <si>
    <t xml:space="preserve">2026-07-16</t>
  </si>
  <si>
    <t xml:space="preserve">2026-07-08</t>
  </si>
  <si>
    <t xml:space="preserve">2026-07-15</t>
  </si>
  <si>
    <t xml:space="preserve">2026-07-09</t>
  </si>
  <si>
    <t xml:space="preserve">2026-06-04</t>
  </si>
  <si>
    <t xml:space="preserve">前复权同原始日线</t>
  </si>
  <si>
    <t xml:space="preserve">day（接口 qfq 请求未单列 qfqday）</t>
  </si>
  <si>
    <t xml:space="preserve">接口 qfq 请求未单列 qfqday；返回日线用于无独立复权序列的代码</t>
  </si>
  <si>
    <t xml:space="preserve">2026-06-29</t>
  </si>
  <si>
    <t xml:space="preserve">2026-07-31</t>
  </si>
  <si>
    <t xml:space="preserve">2026-07-07</t>
  </si>
  <si>
    <t xml:space="preserve">2026-06-08</t>
  </si>
  <si>
    <t xml:space="preserve">正常；按已记录交易日统计</t>
  </si>
  <si>
    <t xml:space="preserve">2026-06-23、2026-06-24、2026-06-25</t>
  </si>
  <si>
    <t xml:space="preserve">2026-07-22</t>
  </si>
  <si>
    <t xml:space="preserve">2026-07-09、2026-07-10、2026-07-13、2026-07-14、2026-07-15</t>
  </si>
  <si>
    <t xml:space="preserve">2026-06-02</t>
  </si>
  <si>
    <t xml:space="preserve">2026-07-14</t>
  </si>
  <si>
    <t xml:space="preserve">2026-07-13</t>
  </si>
  <si>
    <t xml:space="preserve">2026-07-29</t>
  </si>
  <si>
    <t xml:space="preserve">2026-07-06</t>
  </si>
  <si>
    <t xml:space="preserve">2026-07-20</t>
  </si>
  <si>
    <t xml:space="preserve">2026-06-10</t>
  </si>
  <si>
    <t xml:space="preserve">2026-07-27</t>
  </si>
  <si>
    <t xml:space="preserve">2026-07-23</t>
  </si>
  <si>
    <t xml:space="preserve">2026-06-09</t>
  </si>
  <si>
    <t xml:space="preserve">2026-07-17</t>
  </si>
  <si>
    <t xml:space="preserve">2026-06-29、2026-06-30、2026-07-01、2026-07-02、2026-07-03、2026-07-06、2026-07-07、2026-07-08、2026-07-09、2026-07-10</t>
  </si>
  <si>
    <t xml:space="preserve">2026-06-11</t>
  </si>
  <si>
    <t xml:space="preserve">2026-07-24</t>
  </si>
  <si>
    <t xml:space="preserve">前复权日线缺失</t>
  </si>
  <si>
    <t xml:space="preserve">未返回前复权 qfqday</t>
  </si>
</sst>
</file>

<file path=xl/styles.xml><?xml version="1.0" encoding="utf-8"?>
<styleSheet xmlns="http://schemas.openxmlformats.org/spreadsheetml/2006/main">
  <numFmts count="3">
    <numFmt numFmtId="164" formatCode="General"/>
    <numFmt numFmtId="165" formatCode="0.00"/>
    <numFmt numFmtId="166" formatCode="0.000"/>
  </numFmts>
  <fonts count="8">
    <font>
      <sz val="11"/>
      <color theme="1"/>
      <name val="宋体"/>
      <family val="0"/>
      <charset val="134"/>
    </font>
    <font>
      <sz val="10"/>
      <name val="Arial"/>
      <family val="0"/>
      <charset val="134"/>
    </font>
    <font>
      <sz val="10"/>
      <name val="Arial"/>
      <family val="0"/>
      <charset val="134"/>
    </font>
    <font>
      <sz val="10"/>
      <name val="Arial"/>
      <family val="0"/>
      <charset val="134"/>
    </font>
    <font>
      <sz val="11"/>
      <color rgb="FF000000"/>
      <name val="宋体"/>
      <family val="0"/>
      <charset val="1"/>
    </font>
    <font>
      <sz val="10"/>
      <name val="Noto Sans SC"/>
      <family val="2"/>
      <charset val="134"/>
    </font>
    <font>
      <sz val="10"/>
      <name val="Arial"/>
      <family val="2"/>
      <charset val="134"/>
    </font>
    <font>
      <sz val="11"/>
      <color rgb="FF0000FF"/>
      <name val="宋体"/>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00390625" defaultRowHeight="13.5" customHeight="false" zeroHeight="false" outlineLevelRow="0" outlineLevelCol="0"/>
  <cols>
    <col collapsed="false" customWidth="true" hidden="false" outlineLevel="0" max="1" min="1" style="1" width="22"/>
    <col collapsed="false" customWidth="true" hidden="false" outlineLevel="0" max="6" min="4" style="1" width="24.13"/>
    <col collapsed="false" customWidth="true" hidden="false" outlineLevel="0" max="7" min="7" style="1" width="11"/>
    <col collapsed="false" customWidth="true" hidden="false" outlineLevel="0" max="8" min="8" style="1" width="12.13"/>
  </cols>
  <sheetData>
    <row r="1" customFormat="false" ht="13.5" hidden="false" customHeight="true" outlineLevel="0" collapsed="false">
      <c r="A1" s="2" t="s">
        <v>0</v>
      </c>
      <c r="B1" s="2" t="s">
        <v>1</v>
      </c>
      <c r="C1" s="2" t="s">
        <v>2</v>
      </c>
      <c r="D1" s="2" t="s">
        <v>3</v>
      </c>
      <c r="E1" s="2" t="s">
        <v>4</v>
      </c>
      <c r="F1" s="2" t="s">
        <v>5</v>
      </c>
      <c r="G1" s="2" t="s">
        <v>6</v>
      </c>
      <c r="H1" s="2" t="s">
        <v>7</v>
      </c>
      <c r="I1" s="2" t="s">
        <v>8</v>
      </c>
      <c r="J1" s="2" t="s">
        <v>9</v>
      </c>
    </row>
    <row r="2" customFormat="false" ht="13.5" hidden="false" customHeight="true" outlineLevel="0" collapsed="false">
      <c r="A2" s="1" t="s">
        <v>10</v>
      </c>
      <c r="B2" s="1" t="s">
        <v>11</v>
      </c>
      <c r="C2" s="1" t="s">
        <v>12</v>
      </c>
      <c r="D2" s="3" t="n">
        <f aca="false">ROUND((Data!C2-Data!E2)/Data!C2*100,2)</f>
        <v>54.24</v>
      </c>
      <c r="E2" s="1" t="n">
        <v>66.95</v>
      </c>
      <c r="F2" s="1" t="n">
        <v>100.08</v>
      </c>
      <c r="G2" s="1" t="n">
        <v>33.13</v>
      </c>
      <c r="H2" s="1" t="n">
        <v>49.48</v>
      </c>
      <c r="I2" s="1" t="s">
        <v>13</v>
      </c>
      <c r="J2" s="1" t="s">
        <v>14</v>
      </c>
    </row>
    <row r="3" customFormat="false" ht="13.5" hidden="false" customHeight="true" outlineLevel="0" collapsed="false">
      <c r="A3" s="1" t="s">
        <v>15</v>
      </c>
      <c r="B3" s="1" t="s">
        <v>16</v>
      </c>
      <c r="C3" s="1" t="s">
        <v>17</v>
      </c>
      <c r="D3" s="3" t="n">
        <f aca="false">ROUND((Data!C3-Data!E3)/Data!C3*100,2)</f>
        <v>57.95</v>
      </c>
      <c r="E3" s="1" t="n">
        <v>19.53</v>
      </c>
      <c r="F3" s="1" t="n">
        <v>28.77</v>
      </c>
      <c r="G3" s="1" t="n">
        <v>9.24</v>
      </c>
      <c r="H3" s="1" t="n">
        <v>47.31</v>
      </c>
      <c r="I3" s="1" t="s">
        <v>13</v>
      </c>
      <c r="J3" s="1" t="s">
        <v>18</v>
      </c>
    </row>
    <row r="4" customFormat="false" ht="13.5" hidden="false" customHeight="true" outlineLevel="0" collapsed="false">
      <c r="A4" s="1" t="s">
        <v>19</v>
      </c>
      <c r="B4" s="1" t="s">
        <v>20</v>
      </c>
      <c r="C4" s="1" t="s">
        <v>21</v>
      </c>
      <c r="D4" s="3" t="n">
        <f aca="false">ROUND((Data!C4-Data!E4)/Data!C4*100,2)</f>
        <v>53.4</v>
      </c>
      <c r="E4" s="1" t="n">
        <v>190.4</v>
      </c>
      <c r="F4" s="1" t="n">
        <v>280.2</v>
      </c>
      <c r="G4" s="1" t="n">
        <v>89.8</v>
      </c>
      <c r="H4" s="1" t="n">
        <v>47.16</v>
      </c>
      <c r="I4" s="1" t="s">
        <v>13</v>
      </c>
      <c r="J4" s="1" t="s">
        <v>22</v>
      </c>
    </row>
    <row r="5" customFormat="false" ht="13.5" hidden="false" customHeight="true" outlineLevel="0" collapsed="false">
      <c r="A5" s="1" t="s">
        <v>23</v>
      </c>
      <c r="B5" s="1" t="s">
        <v>24</v>
      </c>
      <c r="C5" s="1" t="s">
        <v>25</v>
      </c>
      <c r="D5" s="3" t="n">
        <f aca="false">ROUND((Data!C5-Data!E5)/Data!C5*100,2)</f>
        <v>60.48</v>
      </c>
      <c r="E5" s="1" t="n">
        <v>90.04</v>
      </c>
      <c r="F5" s="1" t="n">
        <v>127.7</v>
      </c>
      <c r="G5" s="1" t="n">
        <v>37.66</v>
      </c>
      <c r="H5" s="1" t="n">
        <v>41.83</v>
      </c>
      <c r="I5" s="1" t="s">
        <v>13</v>
      </c>
      <c r="J5" s="1" t="s">
        <v>26</v>
      </c>
    </row>
    <row r="6" customFormat="false" ht="13.5" hidden="false" customHeight="true" outlineLevel="0" collapsed="false">
      <c r="A6" s="1" t="s">
        <v>27</v>
      </c>
      <c r="B6" s="1" t="s">
        <v>28</v>
      </c>
      <c r="C6" s="1" t="s">
        <v>29</v>
      </c>
      <c r="D6" s="3" t="n">
        <f aca="false">ROUND((Data!C6-Data!E6)/Data!C6*100,2)</f>
        <v>67.93</v>
      </c>
      <c r="E6" s="1" t="n">
        <v>103.27</v>
      </c>
      <c r="F6" s="1" t="n">
        <v>146.16</v>
      </c>
      <c r="G6" s="1" t="n">
        <v>42.89</v>
      </c>
      <c r="H6" s="1" t="n">
        <v>41.53</v>
      </c>
      <c r="I6" s="1" t="s">
        <v>13</v>
      </c>
      <c r="J6" s="1" t="s">
        <v>30</v>
      </c>
    </row>
    <row r="7" customFormat="false" ht="13.5" hidden="false" customHeight="true" outlineLevel="0" collapsed="false">
      <c r="A7" s="1" t="s">
        <v>31</v>
      </c>
      <c r="B7" s="1" t="s">
        <v>32</v>
      </c>
      <c r="C7" s="1" t="s">
        <v>33</v>
      </c>
      <c r="D7" s="3" t="n">
        <f aca="false">ROUND((Data!C7-Data!E7)/Data!C7*100,2)</f>
        <v>65.25</v>
      </c>
      <c r="E7" s="1" t="n">
        <v>107.32</v>
      </c>
      <c r="F7" s="1" t="n">
        <v>151.7</v>
      </c>
      <c r="G7" s="1" t="n">
        <v>44.38</v>
      </c>
      <c r="H7" s="1" t="n">
        <v>41.35</v>
      </c>
      <c r="I7" s="1" t="s">
        <v>13</v>
      </c>
      <c r="J7" s="1" t="s">
        <v>34</v>
      </c>
    </row>
    <row r="8" customFormat="false" ht="13.5" hidden="false" customHeight="true" outlineLevel="0" collapsed="false">
      <c r="A8" s="1" t="s">
        <v>35</v>
      </c>
      <c r="B8" s="1" t="s">
        <v>36</v>
      </c>
      <c r="C8" s="1" t="s">
        <v>37</v>
      </c>
      <c r="D8" s="3" t="n">
        <f aca="false">ROUND((Data!C8-Data!E8)/Data!C8*100,2)</f>
        <v>55.4</v>
      </c>
      <c r="E8" s="1" t="n">
        <v>205.3</v>
      </c>
      <c r="F8" s="1" t="n">
        <v>288.08</v>
      </c>
      <c r="G8" s="1" t="n">
        <v>82.78</v>
      </c>
      <c r="H8" s="1" t="n">
        <v>40.32</v>
      </c>
      <c r="I8" s="1" t="s">
        <v>13</v>
      </c>
      <c r="J8" s="1" t="s">
        <v>38</v>
      </c>
    </row>
    <row r="9" customFormat="false" ht="13.5" hidden="false" customHeight="true" outlineLevel="0" collapsed="false">
      <c r="A9" s="1" t="s">
        <v>39</v>
      </c>
      <c r="B9" s="1" t="s">
        <v>40</v>
      </c>
      <c r="C9" s="1" t="s">
        <v>41</v>
      </c>
      <c r="D9" s="3" t="n">
        <f aca="false">ROUND((Data!C9-Data!E9)/Data!C9*100,2)</f>
        <v>61.77</v>
      </c>
      <c r="E9" s="1" t="n">
        <v>82.62</v>
      </c>
      <c r="F9" s="1" t="n">
        <v>115.81</v>
      </c>
      <c r="G9" s="1" t="n">
        <v>33.19</v>
      </c>
      <c r="H9" s="1" t="n">
        <v>40.17</v>
      </c>
      <c r="I9" s="1" t="s">
        <v>13</v>
      </c>
      <c r="J9" s="1" t="s">
        <v>42</v>
      </c>
    </row>
    <row r="10" customFormat="false" ht="13.5" hidden="false" customHeight="true" outlineLevel="0" collapsed="false">
      <c r="A10" s="1" t="s">
        <v>43</v>
      </c>
      <c r="B10" s="1" t="s">
        <v>44</v>
      </c>
      <c r="C10" s="1" t="s">
        <v>45</v>
      </c>
      <c r="D10" s="3" t="n">
        <f aca="false">ROUND((Data!C10-Data!E10)/Data!C10*100,2)</f>
        <v>62.63</v>
      </c>
      <c r="E10" s="1" t="n">
        <v>83.73</v>
      </c>
      <c r="F10" s="1" t="n">
        <v>117.3</v>
      </c>
      <c r="G10" s="1" t="n">
        <v>33.57</v>
      </c>
      <c r="H10" s="1" t="n">
        <v>40.09</v>
      </c>
      <c r="I10" s="1" t="s">
        <v>13</v>
      </c>
      <c r="J10" s="1" t="s">
        <v>46</v>
      </c>
    </row>
    <row r="11" customFormat="false" ht="13.5" hidden="false" customHeight="true" outlineLevel="0" collapsed="false">
      <c r="A11" s="1" t="s">
        <v>47</v>
      </c>
      <c r="B11" s="1" t="s">
        <v>48</v>
      </c>
      <c r="C11" s="1" t="s">
        <v>49</v>
      </c>
      <c r="D11" s="3" t="n">
        <f aca="false">ROUND((Data!C11-Data!E11)/Data!C11*100,2)</f>
        <v>60.84</v>
      </c>
      <c r="E11" s="1" t="n">
        <v>108.05</v>
      </c>
      <c r="F11" s="1" t="n">
        <v>150.14</v>
      </c>
      <c r="G11" s="1" t="n">
        <v>42.09</v>
      </c>
      <c r="H11" s="1" t="n">
        <v>38.95</v>
      </c>
      <c r="I11" s="1" t="s">
        <v>13</v>
      </c>
      <c r="J11" s="1" t="s">
        <v>50</v>
      </c>
    </row>
    <row r="12" customFormat="false" ht="13.5" hidden="false" customHeight="true" outlineLevel="0" collapsed="false">
      <c r="A12" s="1" t="s">
        <v>51</v>
      </c>
      <c r="B12" s="1" t="s">
        <v>52</v>
      </c>
      <c r="C12" s="1" t="s">
        <v>53</v>
      </c>
      <c r="D12" s="3" t="n">
        <f aca="false">ROUND((Data!C12-Data!E12)/Data!C12*100,2)</f>
        <v>56.35</v>
      </c>
      <c r="E12" s="1" t="n">
        <v>218</v>
      </c>
      <c r="F12" s="1" t="n">
        <v>302.55</v>
      </c>
      <c r="G12" s="1" t="n">
        <v>84.55</v>
      </c>
      <c r="H12" s="1" t="n">
        <v>38.78</v>
      </c>
      <c r="I12" s="1" t="s">
        <v>13</v>
      </c>
      <c r="J12" s="1" t="s">
        <v>54</v>
      </c>
    </row>
    <row r="13" customFormat="false" ht="13.5" hidden="false" customHeight="true" outlineLevel="0" collapsed="false">
      <c r="A13" s="1" t="s">
        <v>35</v>
      </c>
      <c r="B13" s="1" t="s">
        <v>55</v>
      </c>
      <c r="C13" s="1" t="s">
        <v>56</v>
      </c>
      <c r="D13" s="3" t="n">
        <f aca="false">ROUND((Data!C13-Data!E13)/Data!C13*100,2)</f>
        <v>58.04</v>
      </c>
      <c r="E13" s="1" t="n">
        <v>16.61</v>
      </c>
      <c r="F13" s="1" t="n">
        <v>23.01</v>
      </c>
      <c r="G13" s="1" t="n">
        <v>6.4</v>
      </c>
      <c r="H13" s="1" t="n">
        <v>38.53</v>
      </c>
      <c r="I13" s="1" t="s">
        <v>13</v>
      </c>
      <c r="J13" s="1" t="s">
        <v>57</v>
      </c>
    </row>
    <row r="14" customFormat="false" ht="13.5" hidden="false" customHeight="true" outlineLevel="0" collapsed="false">
      <c r="A14" s="1" t="s">
        <v>58</v>
      </c>
      <c r="B14" s="1" t="s">
        <v>59</v>
      </c>
      <c r="C14" s="1" t="s">
        <v>60</v>
      </c>
      <c r="D14" s="3" t="n">
        <f aca="false">ROUND((Data!C14-Data!E14)/Data!C14*100,2)</f>
        <v>64.4</v>
      </c>
      <c r="E14" s="1" t="n">
        <v>68.8</v>
      </c>
      <c r="F14" s="1" t="n">
        <v>95.07</v>
      </c>
      <c r="G14" s="1" t="n">
        <v>26.27</v>
      </c>
      <c r="H14" s="1" t="n">
        <v>38.18</v>
      </c>
      <c r="I14" s="1" t="s">
        <v>13</v>
      </c>
      <c r="J14" s="1" t="s">
        <v>61</v>
      </c>
    </row>
    <row r="15" customFormat="false" ht="13.5" hidden="false" customHeight="true" outlineLevel="0" collapsed="false">
      <c r="A15" s="1" t="s">
        <v>39</v>
      </c>
      <c r="B15" s="1" t="s">
        <v>62</v>
      </c>
      <c r="C15" s="1" t="s">
        <v>63</v>
      </c>
      <c r="D15" s="3" t="n">
        <f aca="false">ROUND((Data!C15-Data!E15)/Data!C15*100,2)</f>
        <v>65.12</v>
      </c>
      <c r="E15" s="1" t="n">
        <v>66.3</v>
      </c>
      <c r="F15" s="1" t="n">
        <v>90.9</v>
      </c>
      <c r="G15" s="1" t="n">
        <v>24.6</v>
      </c>
      <c r="H15" s="1" t="n">
        <v>37.1</v>
      </c>
      <c r="I15" s="1" t="s">
        <v>13</v>
      </c>
      <c r="J15" s="1" t="s">
        <v>64</v>
      </c>
    </row>
    <row r="16" customFormat="false" ht="13.5" hidden="false" customHeight="true" outlineLevel="0" collapsed="false">
      <c r="A16" s="1" t="s">
        <v>65</v>
      </c>
      <c r="B16" s="1" t="s">
        <v>66</v>
      </c>
      <c r="C16" s="1" t="s">
        <v>67</v>
      </c>
      <c r="D16" s="3" t="n">
        <f aca="false">ROUND((Data!C16-Data!E16)/Data!C16*100,2)</f>
        <v>69.67</v>
      </c>
      <c r="E16" s="1" t="n">
        <v>66.13</v>
      </c>
      <c r="F16" s="1" t="n">
        <v>90.5</v>
      </c>
      <c r="G16" s="1" t="n">
        <v>24.37</v>
      </c>
      <c r="H16" s="1" t="n">
        <v>36.85</v>
      </c>
      <c r="I16" s="1" t="s">
        <v>13</v>
      </c>
      <c r="J16" s="1" t="s">
        <v>68</v>
      </c>
    </row>
    <row r="17" customFormat="false" ht="13.5" hidden="false" customHeight="true" outlineLevel="0" collapsed="false">
      <c r="A17" s="1" t="s">
        <v>69</v>
      </c>
      <c r="B17" s="1" t="s">
        <v>70</v>
      </c>
      <c r="C17" s="1" t="s">
        <v>71</v>
      </c>
      <c r="D17" s="3" t="n">
        <f aca="false">ROUND((Data!C17-Data!E17)/Data!C17*100,2)</f>
        <v>53.49</v>
      </c>
      <c r="E17" s="1" t="n">
        <v>35.39</v>
      </c>
      <c r="F17" s="1" t="n">
        <v>48.17</v>
      </c>
      <c r="G17" s="1" t="n">
        <v>12.78</v>
      </c>
      <c r="H17" s="1" t="n">
        <v>36.11</v>
      </c>
      <c r="I17" s="1" t="s">
        <v>13</v>
      </c>
      <c r="J17" s="1" t="s">
        <v>72</v>
      </c>
    </row>
    <row r="18" customFormat="false" ht="13.5" hidden="false" customHeight="true" outlineLevel="0" collapsed="false">
      <c r="A18" s="1" t="s">
        <v>73</v>
      </c>
      <c r="B18" s="1" t="s">
        <v>74</v>
      </c>
      <c r="C18" s="1" t="s">
        <v>75</v>
      </c>
      <c r="D18" s="3" t="n">
        <f aca="false">ROUND((Data!C18-Data!E18)/Data!C18*100,2)</f>
        <v>58.27</v>
      </c>
      <c r="E18" s="1" t="n">
        <v>49.51</v>
      </c>
      <c r="F18" s="1" t="n">
        <v>67.01</v>
      </c>
      <c r="G18" s="1" t="n">
        <v>17.5</v>
      </c>
      <c r="H18" s="1" t="n">
        <v>35.35</v>
      </c>
      <c r="I18" s="1" t="s">
        <v>13</v>
      </c>
      <c r="J18" s="1" t="s">
        <v>76</v>
      </c>
    </row>
    <row r="19" customFormat="false" ht="13.5" hidden="false" customHeight="true" outlineLevel="0" collapsed="false">
      <c r="A19" s="1" t="s">
        <v>77</v>
      </c>
      <c r="B19" s="1" t="s">
        <v>78</v>
      </c>
      <c r="C19" s="1" t="s">
        <v>79</v>
      </c>
      <c r="D19" s="3" t="n">
        <f aca="false">ROUND((Data!C19-Data!E19)/Data!C19*100,2)</f>
        <v>58.46</v>
      </c>
      <c r="E19" s="1" t="n">
        <v>171.01</v>
      </c>
      <c r="F19" s="1" t="n">
        <v>230.68</v>
      </c>
      <c r="G19" s="1" t="n">
        <v>59.67</v>
      </c>
      <c r="H19" s="1" t="n">
        <v>34.89</v>
      </c>
      <c r="I19" s="1" t="s">
        <v>13</v>
      </c>
      <c r="J19" s="1" t="s">
        <v>80</v>
      </c>
    </row>
    <row r="20" customFormat="false" ht="13.5" hidden="false" customHeight="true" outlineLevel="0" collapsed="false">
      <c r="A20" s="1" t="s">
        <v>81</v>
      </c>
      <c r="B20" s="1" t="s">
        <v>82</v>
      </c>
      <c r="C20" s="1" t="s">
        <v>83</v>
      </c>
      <c r="D20" s="3" t="n">
        <f aca="false">ROUND((Data!C20-Data!E20)/Data!C20*100,2)</f>
        <v>53.88</v>
      </c>
      <c r="E20" s="1" t="n">
        <v>26.12</v>
      </c>
      <c r="F20" s="1" t="n">
        <v>35.05</v>
      </c>
      <c r="G20" s="1" t="n">
        <v>8.93</v>
      </c>
      <c r="H20" s="1" t="n">
        <v>34.19</v>
      </c>
      <c r="I20" s="1" t="s">
        <v>13</v>
      </c>
      <c r="J20" s="1" t="s">
        <v>84</v>
      </c>
    </row>
    <row r="21" customFormat="false" ht="13.5" hidden="false" customHeight="true" outlineLevel="0" collapsed="false">
      <c r="A21" s="1" t="s">
        <v>85</v>
      </c>
      <c r="B21" s="1" t="s">
        <v>86</v>
      </c>
      <c r="C21" s="1" t="s">
        <v>87</v>
      </c>
      <c r="D21" s="3" t="n">
        <f aca="false">ROUND((Data!C21-Data!E21)/Data!C21*100,2)</f>
        <v>59.03</v>
      </c>
      <c r="E21" s="1" t="n">
        <v>34.33</v>
      </c>
      <c r="F21" s="1" t="n">
        <v>45.94</v>
      </c>
      <c r="G21" s="1" t="n">
        <v>11.61</v>
      </c>
      <c r="H21" s="1" t="n">
        <v>33.82</v>
      </c>
      <c r="I21" s="1" t="s">
        <v>13</v>
      </c>
      <c r="J21" s="1" t="s">
        <v>88</v>
      </c>
    </row>
    <row r="22" customFormat="false" ht="13.5" hidden="false" customHeight="true" outlineLevel="0" collapsed="false">
      <c r="A22" s="1" t="s">
        <v>89</v>
      </c>
      <c r="B22" s="1" t="s">
        <v>90</v>
      </c>
      <c r="C22" s="1" t="s">
        <v>91</v>
      </c>
      <c r="D22" s="3" t="n">
        <f aca="false">ROUND((Data!C22-Data!E22)/Data!C22*100,2)</f>
        <v>61.84</v>
      </c>
      <c r="E22" s="1" t="n">
        <v>81.28</v>
      </c>
      <c r="F22" s="1" t="n">
        <v>108.57</v>
      </c>
      <c r="G22" s="1" t="n">
        <v>27.29</v>
      </c>
      <c r="H22" s="1" t="n">
        <v>33.58</v>
      </c>
      <c r="I22" s="1" t="s">
        <v>13</v>
      </c>
      <c r="J22" s="1" t="s">
        <v>92</v>
      </c>
    </row>
    <row r="23" customFormat="false" ht="13.5" hidden="false" customHeight="true" outlineLevel="0" collapsed="false">
      <c r="A23" s="1" t="s">
        <v>93</v>
      </c>
      <c r="B23" s="1" t="s">
        <v>94</v>
      </c>
      <c r="C23" s="1" t="s">
        <v>95</v>
      </c>
      <c r="D23" s="3" t="n">
        <f aca="false">ROUND((Data!C23-Data!E23)/Data!C23*100,2)</f>
        <v>46.85</v>
      </c>
      <c r="E23" s="1" t="n">
        <v>65.09</v>
      </c>
      <c r="F23" s="1" t="n">
        <v>86.94</v>
      </c>
      <c r="G23" s="1" t="n">
        <v>21.85</v>
      </c>
      <c r="H23" s="1" t="n">
        <v>33.57</v>
      </c>
      <c r="I23" s="1" t="s">
        <v>13</v>
      </c>
      <c r="J23" s="1" t="s">
        <v>96</v>
      </c>
    </row>
    <row r="24" customFormat="false" ht="13.5" hidden="false" customHeight="true" outlineLevel="0" collapsed="false">
      <c r="A24" s="1" t="s">
        <v>10</v>
      </c>
      <c r="B24" s="1" t="s">
        <v>97</v>
      </c>
      <c r="C24" s="1" t="s">
        <v>98</v>
      </c>
      <c r="D24" s="3" t="n">
        <f aca="false">ROUND((Data!C24-Data!E24)/Data!C24*100,2)</f>
        <v>56.11</v>
      </c>
      <c r="E24" s="1" t="n">
        <v>73.4</v>
      </c>
      <c r="F24" s="1" t="n">
        <v>97.94</v>
      </c>
      <c r="G24" s="1" t="n">
        <v>24.54</v>
      </c>
      <c r="H24" s="1" t="n">
        <v>33.43</v>
      </c>
      <c r="I24" s="1" t="s">
        <v>13</v>
      </c>
      <c r="J24" s="1" t="s">
        <v>99</v>
      </c>
    </row>
    <row r="25" customFormat="false" ht="13.5" hidden="false" customHeight="true" outlineLevel="0" collapsed="false">
      <c r="A25" s="1" t="s">
        <v>100</v>
      </c>
      <c r="B25" s="1" t="s">
        <v>101</v>
      </c>
      <c r="C25" s="1" t="s">
        <v>102</v>
      </c>
      <c r="D25" s="3" t="n">
        <f aca="false">ROUND((Data!C25-Data!E25)/Data!C25*100,2)</f>
        <v>56.01</v>
      </c>
      <c r="E25" s="1" t="n">
        <v>49.71</v>
      </c>
      <c r="F25" s="1" t="n">
        <v>65.98</v>
      </c>
      <c r="G25" s="1" t="n">
        <v>16.27</v>
      </c>
      <c r="H25" s="1" t="n">
        <v>32.73</v>
      </c>
      <c r="I25" s="1" t="s">
        <v>13</v>
      </c>
      <c r="J25" s="1" t="s">
        <v>103</v>
      </c>
    </row>
    <row r="26" customFormat="false" ht="13.5" hidden="false" customHeight="true" outlineLevel="0" collapsed="false">
      <c r="A26" s="1" t="s">
        <v>104</v>
      </c>
      <c r="B26" s="1" t="s">
        <v>105</v>
      </c>
      <c r="C26" s="1" t="s">
        <v>106</v>
      </c>
      <c r="D26" s="3" t="n">
        <f aca="false">ROUND((Data!C26-Data!E26)/Data!C26*100,2)</f>
        <v>39.04</v>
      </c>
      <c r="E26" s="1" t="n">
        <v>24.44</v>
      </c>
      <c r="F26" s="1" t="n">
        <v>32.42</v>
      </c>
      <c r="G26" s="1" t="n">
        <v>7.98</v>
      </c>
      <c r="H26" s="1" t="n">
        <v>32.65</v>
      </c>
      <c r="I26" s="1" t="s">
        <v>13</v>
      </c>
      <c r="J26" s="1" t="s">
        <v>107</v>
      </c>
    </row>
    <row r="27" customFormat="false" ht="13.5" hidden="false" customHeight="true" outlineLevel="0" collapsed="false">
      <c r="A27" s="1" t="s">
        <v>51</v>
      </c>
      <c r="B27" s="1" t="s">
        <v>108</v>
      </c>
      <c r="C27" s="1" t="s">
        <v>109</v>
      </c>
      <c r="D27" s="3" t="n">
        <f aca="false">ROUND((Data!C27-Data!E27)/Data!C27*100,2)</f>
        <v>49.18</v>
      </c>
      <c r="E27" s="1" t="n">
        <v>105.64</v>
      </c>
      <c r="F27" s="1" t="n">
        <v>139.98</v>
      </c>
      <c r="G27" s="1" t="n">
        <v>34.34</v>
      </c>
      <c r="H27" s="1" t="n">
        <v>32.51</v>
      </c>
      <c r="I27" s="1" t="s">
        <v>13</v>
      </c>
      <c r="J27" s="1" t="s">
        <v>110</v>
      </c>
    </row>
    <row r="28" customFormat="false" ht="13.5" hidden="false" customHeight="true" outlineLevel="0" collapsed="false">
      <c r="A28" s="1" t="s">
        <v>51</v>
      </c>
      <c r="B28" s="1" t="s">
        <v>111</v>
      </c>
      <c r="C28" s="1" t="s">
        <v>112</v>
      </c>
      <c r="D28" s="3" t="n">
        <f aca="false">ROUND((Data!C28-Data!E28)/Data!C28*100,2)</f>
        <v>62.41</v>
      </c>
      <c r="E28" s="1" t="n">
        <v>107.99</v>
      </c>
      <c r="F28" s="1" t="n">
        <v>143</v>
      </c>
      <c r="G28" s="1" t="n">
        <v>35.01</v>
      </c>
      <c r="H28" s="1" t="n">
        <v>32.42</v>
      </c>
      <c r="I28" s="1" t="s">
        <v>13</v>
      </c>
      <c r="J28" s="1" t="s">
        <v>113</v>
      </c>
    </row>
    <row r="29" customFormat="false" ht="13.5" hidden="false" customHeight="true" outlineLevel="0" collapsed="false">
      <c r="A29" s="1" t="s">
        <v>114</v>
      </c>
      <c r="B29" s="1" t="s">
        <v>115</v>
      </c>
      <c r="C29" s="1" t="s">
        <v>116</v>
      </c>
      <c r="D29" s="3" t="n">
        <f aca="false">ROUND((Data!C29-Data!E29)/Data!C29*100,2)</f>
        <v>48.49</v>
      </c>
      <c r="E29" s="1" t="n">
        <v>325.23</v>
      </c>
      <c r="F29" s="1" t="n">
        <v>426.99</v>
      </c>
      <c r="G29" s="1" t="n">
        <v>101.76</v>
      </c>
      <c r="H29" s="1" t="n">
        <v>31.29</v>
      </c>
      <c r="I29" s="1" t="s">
        <v>13</v>
      </c>
      <c r="J29" s="1" t="s">
        <v>117</v>
      </c>
    </row>
    <row r="30" customFormat="false" ht="13.5" hidden="false" customHeight="true" outlineLevel="0" collapsed="false">
      <c r="A30" s="1" t="s">
        <v>118</v>
      </c>
      <c r="B30" s="1" t="s">
        <v>119</v>
      </c>
      <c r="C30" s="1" t="s">
        <v>120</v>
      </c>
      <c r="D30" s="3" t="n">
        <f aca="false">ROUND((Data!C30-Data!E30)/Data!C30*100,2)</f>
        <v>60.4</v>
      </c>
      <c r="E30" s="1" t="n">
        <v>43.14</v>
      </c>
      <c r="F30" s="1" t="n">
        <v>56.56</v>
      </c>
      <c r="G30" s="1" t="n">
        <v>13.42</v>
      </c>
      <c r="H30" s="1" t="n">
        <v>31.11</v>
      </c>
      <c r="I30" s="1" t="s">
        <v>13</v>
      </c>
      <c r="J30" s="1" t="s">
        <v>121</v>
      </c>
    </row>
    <row r="31" customFormat="false" ht="13.5" hidden="false" customHeight="true" outlineLevel="0" collapsed="false">
      <c r="A31" s="1" t="s">
        <v>19</v>
      </c>
      <c r="B31" s="1" t="s">
        <v>122</v>
      </c>
      <c r="C31" s="1" t="s">
        <v>123</v>
      </c>
      <c r="D31" s="3" t="n">
        <f aca="false">ROUND((Data!C31-Data!E31)/Data!C31*100,2)</f>
        <v>25.65</v>
      </c>
      <c r="E31" s="1" t="n">
        <v>72.7</v>
      </c>
      <c r="F31" s="1" t="n">
        <v>94.95</v>
      </c>
      <c r="G31" s="1" t="n">
        <v>22.25</v>
      </c>
      <c r="H31" s="1" t="n">
        <v>30.61</v>
      </c>
      <c r="I31" s="1" t="s">
        <v>13</v>
      </c>
      <c r="J31" s="1" t="s">
        <v>124</v>
      </c>
    </row>
    <row r="32" customFormat="false" ht="13.5" hidden="false" customHeight="true" outlineLevel="0" collapsed="false">
      <c r="A32" s="1" t="s">
        <v>125</v>
      </c>
      <c r="B32" s="1" t="s">
        <v>126</v>
      </c>
      <c r="C32" s="1" t="s">
        <v>127</v>
      </c>
      <c r="D32" s="3" t="n">
        <f aca="false">ROUND((Data!C32-Data!E32)/Data!C32*100,2)</f>
        <v>61.44</v>
      </c>
      <c r="E32" s="1" t="n">
        <v>190.28</v>
      </c>
      <c r="F32" s="1" t="n">
        <v>247.9</v>
      </c>
      <c r="G32" s="1" t="n">
        <v>57.62</v>
      </c>
      <c r="H32" s="1" t="n">
        <v>30.28</v>
      </c>
      <c r="I32" s="1" t="s">
        <v>13</v>
      </c>
      <c r="J32" s="1" t="s">
        <v>128</v>
      </c>
    </row>
    <row r="33" customFormat="false" ht="13.5" hidden="false" customHeight="true" outlineLevel="0" collapsed="false">
      <c r="A33" s="1" t="s">
        <v>129</v>
      </c>
      <c r="B33" s="1" t="s">
        <v>130</v>
      </c>
      <c r="C33" s="1" t="s">
        <v>131</v>
      </c>
      <c r="D33" s="3" t="n">
        <f aca="false">ROUND((Data!C33-Data!E33)/Data!C33*100,2)</f>
        <v>65.63</v>
      </c>
      <c r="E33" s="1" t="n">
        <v>129.5</v>
      </c>
      <c r="F33" s="1" t="n">
        <v>168.48</v>
      </c>
      <c r="G33" s="1" t="n">
        <v>38.98</v>
      </c>
      <c r="H33" s="1" t="n">
        <v>30.1</v>
      </c>
      <c r="I33" s="1" t="s">
        <v>13</v>
      </c>
      <c r="J33" s="1" t="s">
        <v>132</v>
      </c>
    </row>
    <row r="34" customFormat="false" ht="13.5" hidden="false" customHeight="true" outlineLevel="0" collapsed="false">
      <c r="A34" s="1" t="s">
        <v>100</v>
      </c>
      <c r="B34" s="1" t="s">
        <v>133</v>
      </c>
      <c r="C34" s="1" t="s">
        <v>134</v>
      </c>
      <c r="D34" s="3" t="n">
        <f aca="false">ROUND((Data!C34-Data!E34)/Data!C34*100,2)</f>
        <v>59.09</v>
      </c>
      <c r="E34" s="1" t="n">
        <v>45.59</v>
      </c>
      <c r="F34" s="1" t="n">
        <v>59.28</v>
      </c>
      <c r="G34" s="1" t="n">
        <v>13.69</v>
      </c>
      <c r="H34" s="1" t="n">
        <v>30.03</v>
      </c>
      <c r="I34" s="1" t="s">
        <v>13</v>
      </c>
      <c r="J34" s="1" t="s">
        <v>135</v>
      </c>
    </row>
    <row r="35" customFormat="false" ht="13.5" hidden="false" customHeight="true" outlineLevel="0" collapsed="false">
      <c r="A35" s="1" t="s">
        <v>136</v>
      </c>
      <c r="B35" s="1" t="s">
        <v>137</v>
      </c>
      <c r="C35" s="1" t="s">
        <v>138</v>
      </c>
      <c r="D35" s="3" t="n">
        <f aca="false">ROUND((Data!C35-Data!E35)/Data!C35*100,2)</f>
        <v>21.25</v>
      </c>
      <c r="E35" s="1" t="n">
        <v>36.62</v>
      </c>
      <c r="F35" s="1" t="n">
        <v>47.5</v>
      </c>
      <c r="G35" s="1" t="n">
        <v>10.88</v>
      </c>
      <c r="H35" s="1" t="n">
        <v>29.71</v>
      </c>
      <c r="I35" s="1" t="s">
        <v>13</v>
      </c>
      <c r="J35" s="1" t="s">
        <v>139</v>
      </c>
    </row>
    <row r="36" customFormat="false" ht="13.5" hidden="false" customHeight="true" outlineLevel="0" collapsed="false">
      <c r="A36" s="1" t="s">
        <v>73</v>
      </c>
      <c r="B36" s="1" t="s">
        <v>140</v>
      </c>
      <c r="C36" s="1" t="s">
        <v>141</v>
      </c>
      <c r="D36" s="3" t="n">
        <f aca="false">ROUND((Data!C36-Data!E36)/Data!C36*100,2)</f>
        <v>51.41</v>
      </c>
      <c r="E36" s="1" t="n">
        <v>350.1</v>
      </c>
      <c r="F36" s="1" t="n">
        <v>451.84</v>
      </c>
      <c r="G36" s="1" t="n">
        <v>101.74</v>
      </c>
      <c r="H36" s="1" t="n">
        <v>29.06</v>
      </c>
      <c r="I36" s="1" t="s">
        <v>13</v>
      </c>
      <c r="J36" s="1" t="s">
        <v>142</v>
      </c>
    </row>
    <row r="37" customFormat="false" ht="13.5" hidden="false" customHeight="true" outlineLevel="0" collapsed="false">
      <c r="A37" s="1" t="s">
        <v>125</v>
      </c>
      <c r="B37" s="1" t="s">
        <v>143</v>
      </c>
      <c r="C37" s="1" t="s">
        <v>144</v>
      </c>
      <c r="D37" s="3" t="n">
        <f aca="false">ROUND((Data!C37-Data!E37)/Data!C37*100,2)</f>
        <v>59.87</v>
      </c>
      <c r="E37" s="1" t="n">
        <v>57.56</v>
      </c>
      <c r="F37" s="1" t="n">
        <v>73.98</v>
      </c>
      <c r="G37" s="1" t="n">
        <v>16.42</v>
      </c>
      <c r="H37" s="1" t="n">
        <v>28.53</v>
      </c>
      <c r="I37" s="1" t="s">
        <v>13</v>
      </c>
      <c r="J37" s="1" t="s">
        <v>145</v>
      </c>
    </row>
    <row r="38" customFormat="false" ht="13.5" hidden="false" customHeight="true" outlineLevel="0" collapsed="false">
      <c r="A38" s="1" t="s">
        <v>39</v>
      </c>
      <c r="B38" s="1" t="s">
        <v>146</v>
      </c>
      <c r="C38" s="1" t="s">
        <v>147</v>
      </c>
      <c r="D38" s="3" t="n">
        <f aca="false">ROUND((Data!C38-Data!E38)/Data!C38*100,2)</f>
        <v>57.17</v>
      </c>
      <c r="E38" s="1" t="n">
        <v>8.16</v>
      </c>
      <c r="F38" s="1" t="n">
        <v>10.46</v>
      </c>
      <c r="G38" s="1" t="n">
        <v>2.3</v>
      </c>
      <c r="H38" s="1" t="n">
        <v>28.19</v>
      </c>
      <c r="I38" s="1" t="s">
        <v>13</v>
      </c>
      <c r="J38" s="1" t="s">
        <v>148</v>
      </c>
    </row>
    <row r="39" customFormat="false" ht="13.5" hidden="false" customHeight="true" outlineLevel="0" collapsed="false">
      <c r="A39" s="1" t="s">
        <v>149</v>
      </c>
      <c r="B39" s="1" t="s">
        <v>150</v>
      </c>
      <c r="C39" s="1" t="s">
        <v>151</v>
      </c>
      <c r="D39" s="3" t="n">
        <f aca="false">ROUND((Data!C39-Data!E39)/Data!C39*100,2)</f>
        <v>48.67</v>
      </c>
      <c r="E39" s="1" t="n">
        <v>90.42</v>
      </c>
      <c r="F39" s="1" t="n">
        <v>115.4</v>
      </c>
      <c r="G39" s="1" t="n">
        <v>24.98</v>
      </c>
      <c r="H39" s="1" t="n">
        <v>27.63</v>
      </c>
      <c r="I39" s="1" t="s">
        <v>13</v>
      </c>
      <c r="J39" s="1" t="s">
        <v>152</v>
      </c>
    </row>
    <row r="40" customFormat="false" ht="13.5" hidden="false" customHeight="true" outlineLevel="0" collapsed="false">
      <c r="A40" s="1" t="s">
        <v>153</v>
      </c>
      <c r="B40" s="1" t="s">
        <v>154</v>
      </c>
      <c r="C40" s="1" t="s">
        <v>155</v>
      </c>
      <c r="D40" s="3" t="n">
        <f aca="false">ROUND((Data!C40-Data!E40)/Data!C40*100,2)</f>
        <v>57.17</v>
      </c>
      <c r="E40" s="1" t="n">
        <v>25.07</v>
      </c>
      <c r="F40" s="1" t="n">
        <v>31.99</v>
      </c>
      <c r="G40" s="1" t="n">
        <v>6.92</v>
      </c>
      <c r="H40" s="1" t="n">
        <v>27.6</v>
      </c>
      <c r="I40" s="1" t="s">
        <v>13</v>
      </c>
      <c r="J40" s="1" t="s">
        <v>156</v>
      </c>
    </row>
    <row r="41" customFormat="false" ht="13.5" hidden="false" customHeight="true" outlineLevel="0" collapsed="false">
      <c r="A41" s="1" t="s">
        <v>157</v>
      </c>
      <c r="B41" s="1" t="s">
        <v>158</v>
      </c>
      <c r="C41" s="1" t="s">
        <v>159</v>
      </c>
      <c r="D41" s="3" t="n">
        <f aca="false">ROUND((Data!C41-Data!E41)/Data!C41*100,2)</f>
        <v>59.5</v>
      </c>
      <c r="E41" s="1" t="n">
        <v>221</v>
      </c>
      <c r="F41" s="1" t="n">
        <v>281.88</v>
      </c>
      <c r="G41" s="1" t="n">
        <v>60.88</v>
      </c>
      <c r="H41" s="1" t="n">
        <v>27.55</v>
      </c>
      <c r="I41" s="1" t="s">
        <v>13</v>
      </c>
      <c r="J41" s="1" t="s">
        <v>160</v>
      </c>
    </row>
    <row r="42" customFormat="false" ht="13.5" hidden="false" customHeight="true" outlineLevel="0" collapsed="false">
      <c r="A42" s="1" t="s">
        <v>161</v>
      </c>
      <c r="B42" s="1" t="s">
        <v>162</v>
      </c>
      <c r="C42" s="1" t="s">
        <v>163</v>
      </c>
      <c r="D42" s="3" t="n">
        <f aca="false">ROUND((Data!C42-Data!E42)/Data!C42*100,2)</f>
        <v>56.2</v>
      </c>
      <c r="E42" s="1" t="n">
        <v>90.05</v>
      </c>
      <c r="F42" s="1" t="n">
        <v>114.33</v>
      </c>
      <c r="G42" s="1" t="n">
        <v>24.28</v>
      </c>
      <c r="H42" s="1" t="n">
        <v>26.96</v>
      </c>
      <c r="I42" s="1" t="s">
        <v>13</v>
      </c>
      <c r="J42" s="1" t="s">
        <v>164</v>
      </c>
    </row>
    <row r="43" customFormat="false" ht="13.5" hidden="false" customHeight="true" outlineLevel="0" collapsed="false">
      <c r="A43" s="1" t="s">
        <v>165</v>
      </c>
      <c r="B43" s="1" t="s">
        <v>166</v>
      </c>
      <c r="C43" s="1" t="s">
        <v>167</v>
      </c>
      <c r="D43" s="3" t="n">
        <f aca="false">ROUND((Data!C43-Data!E43)/Data!C43*100,2)</f>
        <v>56.22</v>
      </c>
      <c r="E43" s="1" t="n">
        <v>49.03</v>
      </c>
      <c r="F43" s="1" t="n">
        <v>62.07</v>
      </c>
      <c r="G43" s="1" t="n">
        <v>13.04</v>
      </c>
      <c r="H43" s="1" t="n">
        <v>26.6</v>
      </c>
      <c r="I43" s="1" t="s">
        <v>13</v>
      </c>
      <c r="J43" s="1" t="s">
        <v>168</v>
      </c>
    </row>
    <row r="44" customFormat="false" ht="13.5" hidden="false" customHeight="true" outlineLevel="0" collapsed="false">
      <c r="A44" s="1" t="s">
        <v>169</v>
      </c>
      <c r="B44" s="1" t="s">
        <v>170</v>
      </c>
      <c r="C44" s="1" t="s">
        <v>171</v>
      </c>
      <c r="D44" s="3" t="n">
        <f aca="false">ROUND((Data!C44-Data!E44)/Data!C44*100,2)</f>
        <v>44.17</v>
      </c>
      <c r="E44" s="1" t="n">
        <v>15.21</v>
      </c>
      <c r="F44" s="1" t="n">
        <v>19.19</v>
      </c>
      <c r="G44" s="1" t="n">
        <v>3.98</v>
      </c>
      <c r="H44" s="1" t="n">
        <v>26.17</v>
      </c>
      <c r="I44" s="1" t="s">
        <v>13</v>
      </c>
      <c r="J44" s="1" t="s">
        <v>172</v>
      </c>
    </row>
    <row r="45" customFormat="false" ht="13.5" hidden="false" customHeight="true" outlineLevel="0" collapsed="false">
      <c r="A45" s="1" t="s">
        <v>43</v>
      </c>
      <c r="B45" s="1" t="s">
        <v>173</v>
      </c>
      <c r="C45" s="1" t="s">
        <v>174</v>
      </c>
      <c r="D45" s="3" t="n">
        <f aca="false">ROUND((Data!C45-Data!E45)/Data!C45*100,2)</f>
        <v>53</v>
      </c>
      <c r="E45" s="1" t="n">
        <v>20.86</v>
      </c>
      <c r="F45" s="1" t="n">
        <v>26.3</v>
      </c>
      <c r="G45" s="1" t="n">
        <v>5.44</v>
      </c>
      <c r="H45" s="1" t="n">
        <v>26.08</v>
      </c>
      <c r="I45" s="1" t="s">
        <v>13</v>
      </c>
      <c r="J45" s="1" t="s">
        <v>175</v>
      </c>
    </row>
    <row r="46" customFormat="false" ht="13.5" hidden="false" customHeight="true" outlineLevel="0" collapsed="false">
      <c r="A46" s="1" t="s">
        <v>157</v>
      </c>
      <c r="B46" s="1" t="s">
        <v>176</v>
      </c>
      <c r="C46" s="1" t="s">
        <v>177</v>
      </c>
      <c r="D46" s="3" t="n">
        <f aca="false">ROUND((Data!C46-Data!E46)/Data!C46*100,2)</f>
        <v>60.13</v>
      </c>
      <c r="E46" s="1" t="n">
        <v>140.5</v>
      </c>
      <c r="F46" s="1" t="n">
        <v>177.04</v>
      </c>
      <c r="G46" s="1" t="n">
        <v>36.54</v>
      </c>
      <c r="H46" s="1" t="n">
        <v>26.01</v>
      </c>
      <c r="I46" s="1" t="s">
        <v>13</v>
      </c>
      <c r="J46" s="1" t="s">
        <v>178</v>
      </c>
    </row>
    <row r="47" customFormat="false" ht="13.5" hidden="false" customHeight="true" outlineLevel="0" collapsed="false">
      <c r="A47" s="1" t="s">
        <v>179</v>
      </c>
      <c r="B47" s="1" t="s">
        <v>180</v>
      </c>
      <c r="C47" s="1" t="s">
        <v>181</v>
      </c>
      <c r="D47" s="3" t="n">
        <f aca="false">ROUND((Data!C47-Data!E47)/Data!C47*100,2)</f>
        <v>63.4</v>
      </c>
      <c r="E47" s="1" t="n">
        <v>175.44</v>
      </c>
      <c r="F47" s="1" t="n">
        <v>220.9</v>
      </c>
      <c r="G47" s="1" t="n">
        <v>45.46</v>
      </c>
      <c r="H47" s="1" t="n">
        <v>25.91</v>
      </c>
      <c r="I47" s="1" t="s">
        <v>13</v>
      </c>
      <c r="J47" s="1" t="s">
        <v>182</v>
      </c>
    </row>
    <row r="48" customFormat="false" ht="13.5" hidden="false" customHeight="true" outlineLevel="0" collapsed="false">
      <c r="A48" s="1" t="s">
        <v>183</v>
      </c>
      <c r="B48" s="1" t="s">
        <v>184</v>
      </c>
      <c r="C48" s="1" t="s">
        <v>185</v>
      </c>
      <c r="D48" s="3" t="n">
        <f aca="false">ROUND((Data!C48-Data!E48)/Data!C48*100,2)</f>
        <v>64.09</v>
      </c>
      <c r="E48" s="1" t="n">
        <v>114</v>
      </c>
      <c r="F48" s="1" t="n">
        <v>143.43</v>
      </c>
      <c r="G48" s="1" t="n">
        <v>29.43</v>
      </c>
      <c r="H48" s="1" t="n">
        <v>25.82</v>
      </c>
      <c r="I48" s="1" t="s">
        <v>13</v>
      </c>
      <c r="J48" s="1" t="s">
        <v>186</v>
      </c>
    </row>
    <row r="49" customFormat="false" ht="13.5" hidden="false" customHeight="true" outlineLevel="0" collapsed="false">
      <c r="A49" s="1" t="s">
        <v>19</v>
      </c>
      <c r="B49" s="1" t="s">
        <v>187</v>
      </c>
      <c r="C49" s="1" t="s">
        <v>188</v>
      </c>
      <c r="D49" s="3" t="n">
        <f aca="false">ROUND((Data!C49-Data!E49)/Data!C49*100,2)</f>
        <v>47.06</v>
      </c>
      <c r="E49" s="1" t="n">
        <v>94.5</v>
      </c>
      <c r="F49" s="1" t="n">
        <v>118.78</v>
      </c>
      <c r="G49" s="1" t="n">
        <v>24.28</v>
      </c>
      <c r="H49" s="1" t="n">
        <v>25.69</v>
      </c>
      <c r="I49" s="1" t="s">
        <v>13</v>
      </c>
      <c r="J49" s="1" t="s">
        <v>189</v>
      </c>
    </row>
    <row r="50" customFormat="false" ht="13.5" hidden="false" customHeight="true" outlineLevel="0" collapsed="false">
      <c r="A50" s="1" t="s">
        <v>23</v>
      </c>
      <c r="B50" s="1" t="s">
        <v>190</v>
      </c>
      <c r="C50" s="1" t="s">
        <v>191</v>
      </c>
      <c r="D50" s="3" t="n">
        <f aca="false">ROUND((Data!C50-Data!E50)/Data!C50*100,2)</f>
        <v>59.54</v>
      </c>
      <c r="E50" s="1" t="n">
        <v>227.38</v>
      </c>
      <c r="F50" s="1" t="n">
        <v>285.52</v>
      </c>
      <c r="G50" s="1" t="n">
        <v>58.14</v>
      </c>
      <c r="H50" s="1" t="n">
        <v>25.57</v>
      </c>
      <c r="I50" s="1" t="s">
        <v>13</v>
      </c>
      <c r="J50" s="1" t="s">
        <v>192</v>
      </c>
    </row>
    <row r="51" customFormat="false" ht="13.5" hidden="false" customHeight="true" outlineLevel="0" collapsed="false">
      <c r="A51" s="1" t="s">
        <v>193</v>
      </c>
      <c r="B51" s="1" t="s">
        <v>194</v>
      </c>
      <c r="C51" s="1" t="s">
        <v>195</v>
      </c>
      <c r="D51" s="3" t="n">
        <f aca="false">ROUND((Data!C51-Data!E51)/Data!C51*100,2)</f>
        <v>63.49</v>
      </c>
      <c r="E51" s="1" t="n">
        <v>47.61</v>
      </c>
      <c r="F51" s="1" t="n">
        <v>59.52</v>
      </c>
      <c r="G51" s="1" t="n">
        <v>11.91</v>
      </c>
      <c r="H51" s="1" t="n">
        <v>25.02</v>
      </c>
      <c r="I51" s="1" t="s">
        <v>13</v>
      </c>
      <c r="J51" s="1" t="s">
        <v>196</v>
      </c>
    </row>
    <row r="52" customFormat="false" ht="13.5" hidden="false" customHeight="true" outlineLevel="0" collapsed="false">
      <c r="A52" s="1" t="s">
        <v>39</v>
      </c>
      <c r="B52" s="1" t="s">
        <v>197</v>
      </c>
      <c r="C52" s="1" t="s">
        <v>198</v>
      </c>
      <c r="D52" s="3" t="n">
        <f aca="false">ROUND((Data!C52-Data!E52)/Data!C52*100,2)</f>
        <v>57.13</v>
      </c>
      <c r="E52" s="1" t="n">
        <v>23.05</v>
      </c>
      <c r="F52" s="1" t="n">
        <v>28.8</v>
      </c>
      <c r="G52" s="1" t="n">
        <v>5.75</v>
      </c>
      <c r="H52" s="1" t="n">
        <v>24.95</v>
      </c>
      <c r="I52" s="1" t="s">
        <v>13</v>
      </c>
      <c r="J52" s="1" t="s">
        <v>199</v>
      </c>
    </row>
    <row r="53" customFormat="false" ht="13.5" hidden="false" customHeight="true" outlineLevel="0" collapsed="false">
      <c r="A53" s="1" t="s">
        <v>193</v>
      </c>
      <c r="B53" s="1" t="s">
        <v>200</v>
      </c>
      <c r="C53" s="1" t="s">
        <v>201</v>
      </c>
      <c r="D53" s="3" t="n">
        <f aca="false">ROUND((Data!C53-Data!E53)/Data!C53*100,2)</f>
        <v>57.41</v>
      </c>
      <c r="E53" s="1" t="n">
        <v>271.5</v>
      </c>
      <c r="F53" s="1" t="n">
        <v>338.69</v>
      </c>
      <c r="G53" s="1" t="n">
        <v>67.19</v>
      </c>
      <c r="H53" s="1" t="n">
        <v>24.75</v>
      </c>
      <c r="I53" s="1" t="s">
        <v>13</v>
      </c>
      <c r="J53" s="1" t="s">
        <v>202</v>
      </c>
    </row>
    <row r="54" customFormat="false" ht="13.5" hidden="false" customHeight="true" outlineLevel="0" collapsed="false">
      <c r="A54" s="1" t="s">
        <v>203</v>
      </c>
      <c r="B54" s="1" t="s">
        <v>204</v>
      </c>
      <c r="C54" s="1" t="s">
        <v>205</v>
      </c>
      <c r="D54" s="3" t="n">
        <f aca="false">ROUND((Data!C54-Data!E54)/Data!C54*100,2)</f>
        <v>56.31</v>
      </c>
      <c r="E54" s="1" t="n">
        <v>23.27</v>
      </c>
      <c r="F54" s="1" t="n">
        <v>29.01</v>
      </c>
      <c r="G54" s="1" t="n">
        <v>5.74</v>
      </c>
      <c r="H54" s="1" t="n">
        <v>24.67</v>
      </c>
      <c r="I54" s="1" t="s">
        <v>13</v>
      </c>
      <c r="J54" s="1" t="s">
        <v>206</v>
      </c>
    </row>
    <row r="55" customFormat="false" ht="13.5" hidden="false" customHeight="true" outlineLevel="0" collapsed="false">
      <c r="A55" s="1" t="s">
        <v>19</v>
      </c>
      <c r="B55" s="1" t="s">
        <v>207</v>
      </c>
      <c r="C55" s="1" t="s">
        <v>208</v>
      </c>
      <c r="D55" s="3" t="n">
        <f aca="false">ROUND((Data!C55-Data!E55)/Data!C55*100,2)</f>
        <v>38.22</v>
      </c>
      <c r="E55" s="1" t="n">
        <v>81.5</v>
      </c>
      <c r="F55" s="1" t="n">
        <v>101.41</v>
      </c>
      <c r="G55" s="1" t="n">
        <v>19.91</v>
      </c>
      <c r="H55" s="1" t="n">
        <v>24.43</v>
      </c>
      <c r="I55" s="1" t="s">
        <v>13</v>
      </c>
      <c r="J55" s="1" t="s">
        <v>209</v>
      </c>
    </row>
    <row r="56" customFormat="false" ht="13.5" hidden="false" customHeight="true" outlineLevel="0" collapsed="false">
      <c r="A56" s="1" t="s">
        <v>19</v>
      </c>
      <c r="B56" s="1" t="s">
        <v>210</v>
      </c>
      <c r="C56" s="1" t="s">
        <v>211</v>
      </c>
      <c r="D56" s="3" t="n">
        <f aca="false">ROUND((Data!C56-Data!E56)/Data!C56*100,2)</f>
        <v>41.31</v>
      </c>
      <c r="E56" s="1" t="n">
        <v>308</v>
      </c>
      <c r="F56" s="1" t="n">
        <v>382.63</v>
      </c>
      <c r="G56" s="1" t="n">
        <v>74.63</v>
      </c>
      <c r="H56" s="1" t="n">
        <v>24.23</v>
      </c>
      <c r="I56" s="1" t="s">
        <v>13</v>
      </c>
      <c r="J56" s="1" t="s">
        <v>212</v>
      </c>
    </row>
    <row r="57" customFormat="false" ht="13.5" hidden="false" customHeight="true" outlineLevel="0" collapsed="false">
      <c r="A57" s="1" t="s">
        <v>85</v>
      </c>
      <c r="B57" s="1" t="s">
        <v>213</v>
      </c>
      <c r="C57" s="1" t="s">
        <v>214</v>
      </c>
      <c r="D57" s="3" t="n">
        <f aca="false">ROUND((Data!C57-Data!E57)/Data!C57*100,2)</f>
        <v>56.09</v>
      </c>
      <c r="E57" s="1" t="n">
        <v>34.12</v>
      </c>
      <c r="F57" s="1" t="n">
        <v>42.38</v>
      </c>
      <c r="G57" s="1" t="n">
        <v>8.26</v>
      </c>
      <c r="H57" s="1" t="n">
        <v>24.21</v>
      </c>
      <c r="I57" s="1" t="s">
        <v>13</v>
      </c>
      <c r="J57" s="1" t="s">
        <v>215</v>
      </c>
    </row>
    <row r="58" customFormat="false" ht="13.5" hidden="false" customHeight="true" outlineLevel="0" collapsed="false">
      <c r="A58" s="1" t="s">
        <v>69</v>
      </c>
      <c r="B58" s="1" t="s">
        <v>216</v>
      </c>
      <c r="C58" s="1" t="s">
        <v>217</v>
      </c>
      <c r="D58" s="3" t="n">
        <f aca="false">ROUND((Data!C58-Data!E58)/Data!C58*100,2)</f>
        <v>56.13</v>
      </c>
      <c r="E58" s="1" t="n">
        <v>203.42</v>
      </c>
      <c r="F58" s="1" t="n">
        <v>252.54</v>
      </c>
      <c r="G58" s="1" t="n">
        <v>49.12</v>
      </c>
      <c r="H58" s="1" t="n">
        <v>24.15</v>
      </c>
      <c r="I58" s="1" t="s">
        <v>13</v>
      </c>
      <c r="J58" s="1" t="s">
        <v>218</v>
      </c>
    </row>
    <row r="59" customFormat="false" ht="13.5" hidden="false" customHeight="true" outlineLevel="0" collapsed="false">
      <c r="A59" s="1" t="s">
        <v>23</v>
      </c>
      <c r="B59" s="1" t="s">
        <v>219</v>
      </c>
      <c r="C59" s="1" t="s">
        <v>220</v>
      </c>
      <c r="D59" s="3" t="n">
        <f aca="false">ROUND((Data!C59-Data!E59)/Data!C59*100,2)</f>
        <v>49.44</v>
      </c>
      <c r="E59" s="1" t="n">
        <v>1092.1</v>
      </c>
      <c r="F59" s="1" t="n">
        <v>1355.5</v>
      </c>
      <c r="G59" s="1" t="n">
        <v>263.4</v>
      </c>
      <c r="H59" s="1" t="n">
        <v>24.12</v>
      </c>
      <c r="I59" s="1" t="s">
        <v>13</v>
      </c>
      <c r="J59" s="1" t="s">
        <v>221</v>
      </c>
    </row>
    <row r="60" customFormat="false" ht="13.5" hidden="false" customHeight="true" outlineLevel="0" collapsed="false">
      <c r="A60" s="1" t="s">
        <v>118</v>
      </c>
      <c r="B60" s="1" t="s">
        <v>222</v>
      </c>
      <c r="C60" s="1" t="s">
        <v>223</v>
      </c>
      <c r="D60" s="3" t="n">
        <f aca="false">ROUND((Data!C60-Data!E60)/Data!C60*100,2)</f>
        <v>58.83</v>
      </c>
      <c r="E60" s="1" t="n">
        <v>128.13</v>
      </c>
      <c r="F60" s="1" t="n">
        <v>158.8</v>
      </c>
      <c r="G60" s="1" t="n">
        <v>30.67</v>
      </c>
      <c r="H60" s="1" t="n">
        <v>23.94</v>
      </c>
      <c r="I60" s="1" t="s">
        <v>13</v>
      </c>
      <c r="J60" s="1" t="s">
        <v>224</v>
      </c>
    </row>
    <row r="61" customFormat="false" ht="13.5" hidden="false" customHeight="true" outlineLevel="0" collapsed="false">
      <c r="A61" s="1" t="s">
        <v>225</v>
      </c>
      <c r="B61" s="1" t="s">
        <v>226</v>
      </c>
      <c r="C61" s="1" t="s">
        <v>227</v>
      </c>
      <c r="D61" s="3" t="n">
        <f aca="false">ROUND((Data!C61-Data!E61)/Data!C61*100,2)</f>
        <v>55</v>
      </c>
      <c r="E61" s="1" t="n">
        <v>43.8</v>
      </c>
      <c r="F61" s="1" t="n">
        <v>54.26</v>
      </c>
      <c r="G61" s="1" t="n">
        <v>10.46</v>
      </c>
      <c r="H61" s="1" t="n">
        <v>23.88</v>
      </c>
      <c r="I61" s="1" t="s">
        <v>13</v>
      </c>
      <c r="J61" s="1" t="s">
        <v>228</v>
      </c>
    </row>
    <row r="62" customFormat="false" ht="13.5" hidden="false" customHeight="true" outlineLevel="0" collapsed="false">
      <c r="A62" s="1" t="s">
        <v>229</v>
      </c>
      <c r="B62" s="1" t="s">
        <v>230</v>
      </c>
      <c r="C62" s="1" t="s">
        <v>231</v>
      </c>
      <c r="D62" s="3" t="n">
        <f aca="false">ROUND((Data!C62-Data!E62)/Data!C62*100,2)</f>
        <v>63.99</v>
      </c>
      <c r="E62" s="1" t="n">
        <v>7.98</v>
      </c>
      <c r="F62" s="1" t="n">
        <v>9.88</v>
      </c>
      <c r="G62" s="1" t="n">
        <v>1.9</v>
      </c>
      <c r="H62" s="1" t="n">
        <v>23.81</v>
      </c>
      <c r="I62" s="1" t="s">
        <v>13</v>
      </c>
      <c r="J62" s="1" t="s">
        <v>232</v>
      </c>
    </row>
    <row r="63" customFormat="false" ht="13.5" hidden="false" customHeight="true" outlineLevel="0" collapsed="false">
      <c r="A63" s="1" t="s">
        <v>233</v>
      </c>
      <c r="B63" s="1" t="s">
        <v>234</v>
      </c>
      <c r="C63" s="1" t="s">
        <v>235</v>
      </c>
      <c r="D63" s="3" t="n">
        <f aca="false">ROUND((Data!C63-Data!E63)/Data!C63*100,2)</f>
        <v>56.39</v>
      </c>
      <c r="E63" s="1" t="n">
        <v>99.04</v>
      </c>
      <c r="F63" s="1" t="n">
        <v>122.53</v>
      </c>
      <c r="G63" s="1" t="n">
        <v>23.49</v>
      </c>
      <c r="H63" s="1" t="n">
        <v>23.72</v>
      </c>
      <c r="I63" s="1" t="s">
        <v>13</v>
      </c>
      <c r="J63" s="1" t="s">
        <v>236</v>
      </c>
    </row>
    <row r="64" customFormat="false" ht="13.5" hidden="false" customHeight="true" outlineLevel="0" collapsed="false">
      <c r="A64" s="1" t="s">
        <v>114</v>
      </c>
      <c r="B64" s="1" t="s">
        <v>237</v>
      </c>
      <c r="C64" s="1" t="s">
        <v>238</v>
      </c>
      <c r="D64" s="3" t="n">
        <f aca="false">ROUND((Data!C64-Data!E64)/Data!C64*100,2)</f>
        <v>58.98</v>
      </c>
      <c r="E64" s="1" t="n">
        <v>43.73</v>
      </c>
      <c r="F64" s="1" t="n">
        <v>53.95</v>
      </c>
      <c r="G64" s="1" t="n">
        <v>10.22</v>
      </c>
      <c r="H64" s="1" t="n">
        <v>23.37</v>
      </c>
      <c r="I64" s="1" t="s">
        <v>13</v>
      </c>
      <c r="J64" s="1" t="s">
        <v>239</v>
      </c>
    </row>
    <row r="65" customFormat="false" ht="13.5" hidden="false" customHeight="true" outlineLevel="0" collapsed="false">
      <c r="A65" s="1" t="s">
        <v>240</v>
      </c>
      <c r="B65" s="1" t="s">
        <v>241</v>
      </c>
      <c r="C65" s="1" t="s">
        <v>242</v>
      </c>
      <c r="D65" s="3" t="n">
        <f aca="false">ROUND((Data!C65-Data!E65)/Data!C65*100,2)</f>
        <v>53.29</v>
      </c>
      <c r="E65" s="1" t="n">
        <v>62.4</v>
      </c>
      <c r="F65" s="1" t="n">
        <v>76.95</v>
      </c>
      <c r="G65" s="1" t="n">
        <v>14.55</v>
      </c>
      <c r="H65" s="1" t="n">
        <v>23.32</v>
      </c>
      <c r="I65" s="1" t="s">
        <v>13</v>
      </c>
      <c r="J65" s="1" t="s">
        <v>243</v>
      </c>
    </row>
    <row r="66" customFormat="false" ht="13.5" hidden="false" customHeight="true" outlineLevel="0" collapsed="false">
      <c r="A66" s="1" t="s">
        <v>244</v>
      </c>
      <c r="B66" s="1" t="s">
        <v>245</v>
      </c>
      <c r="C66" s="1" t="s">
        <v>246</v>
      </c>
      <c r="D66" s="3" t="n">
        <f aca="false">ROUND((Data!C66-Data!E66)/Data!C66*100,2)</f>
        <v>56.23</v>
      </c>
      <c r="E66" s="1" t="n">
        <v>39.85</v>
      </c>
      <c r="F66" s="1" t="n">
        <v>49.09</v>
      </c>
      <c r="G66" s="1" t="n">
        <v>9.24</v>
      </c>
      <c r="H66" s="1" t="n">
        <v>23.19</v>
      </c>
      <c r="I66" s="1" t="s">
        <v>13</v>
      </c>
      <c r="J66" s="1" t="s">
        <v>247</v>
      </c>
    </row>
    <row r="67" customFormat="false" ht="13.5" hidden="false" customHeight="true" outlineLevel="0" collapsed="false">
      <c r="A67" s="1" t="s">
        <v>248</v>
      </c>
      <c r="B67" s="1" t="s">
        <v>249</v>
      </c>
      <c r="C67" s="1" t="s">
        <v>250</v>
      </c>
      <c r="D67" s="3" t="n">
        <f aca="false">ROUND((Data!C67-Data!E67)/Data!C67*100,2)</f>
        <v>57.58</v>
      </c>
      <c r="E67" s="1" t="n">
        <v>53.35</v>
      </c>
      <c r="F67" s="1" t="n">
        <v>65.7</v>
      </c>
      <c r="G67" s="1" t="n">
        <v>12.35</v>
      </c>
      <c r="H67" s="1" t="n">
        <v>23.15</v>
      </c>
      <c r="I67" s="1" t="s">
        <v>13</v>
      </c>
      <c r="J67" s="1" t="s">
        <v>251</v>
      </c>
    </row>
    <row r="68" customFormat="false" ht="13.5" hidden="false" customHeight="true" outlineLevel="0" collapsed="false">
      <c r="A68" s="1" t="s">
        <v>252</v>
      </c>
      <c r="B68" s="1" t="s">
        <v>253</v>
      </c>
      <c r="C68" s="1" t="s">
        <v>254</v>
      </c>
      <c r="D68" s="3" t="n">
        <f aca="false">ROUND((Data!C68-Data!E68)/Data!C68*100,2)</f>
        <v>51.18</v>
      </c>
      <c r="E68" s="1" t="n">
        <v>72.77</v>
      </c>
      <c r="F68" s="1" t="n">
        <v>89.6</v>
      </c>
      <c r="G68" s="1" t="n">
        <v>16.83</v>
      </c>
      <c r="H68" s="1" t="n">
        <v>23.13</v>
      </c>
      <c r="I68" s="1" t="s">
        <v>13</v>
      </c>
      <c r="J68" s="1" t="s">
        <v>255</v>
      </c>
    </row>
    <row r="69" customFormat="false" ht="13.5" hidden="false" customHeight="true" outlineLevel="0" collapsed="false">
      <c r="A69" s="1" t="s">
        <v>256</v>
      </c>
      <c r="B69" s="1" t="s">
        <v>257</v>
      </c>
      <c r="C69" s="1" t="s">
        <v>258</v>
      </c>
      <c r="D69" s="3" t="n">
        <f aca="false">ROUND((Data!C69-Data!E69)/Data!C69*100,2)</f>
        <v>49.98</v>
      </c>
      <c r="E69" s="1" t="n">
        <v>27.51</v>
      </c>
      <c r="F69" s="1" t="n">
        <v>33.8</v>
      </c>
      <c r="G69" s="1" t="n">
        <v>6.29</v>
      </c>
      <c r="H69" s="1" t="n">
        <v>22.86</v>
      </c>
      <c r="I69" s="1" t="s">
        <v>13</v>
      </c>
      <c r="J69" s="1" t="s">
        <v>259</v>
      </c>
    </row>
    <row r="70" customFormat="false" ht="13.5" hidden="false" customHeight="true" outlineLevel="0" collapsed="false">
      <c r="A70" s="1" t="s">
        <v>260</v>
      </c>
      <c r="B70" s="1" t="s">
        <v>261</v>
      </c>
      <c r="C70" s="1" t="s">
        <v>262</v>
      </c>
      <c r="D70" s="3" t="n">
        <f aca="false">ROUND((Data!C70-Data!E70)/Data!C70*100,2)</f>
        <v>49.58</v>
      </c>
      <c r="E70" s="1" t="n">
        <v>70.56</v>
      </c>
      <c r="F70" s="1" t="n">
        <v>86.68</v>
      </c>
      <c r="G70" s="1" t="n">
        <v>16.12</v>
      </c>
      <c r="H70" s="1" t="n">
        <v>22.85</v>
      </c>
      <c r="I70" s="1" t="s">
        <v>13</v>
      </c>
      <c r="J70" s="1" t="s">
        <v>263</v>
      </c>
    </row>
    <row r="71" customFormat="false" ht="13.5" hidden="false" customHeight="true" outlineLevel="0" collapsed="false">
      <c r="A71" s="1" t="s">
        <v>264</v>
      </c>
      <c r="B71" s="1" t="s">
        <v>265</v>
      </c>
      <c r="C71" s="1" t="s">
        <v>266</v>
      </c>
      <c r="D71" s="3" t="n">
        <f aca="false">ROUND((Data!C71-Data!E71)/Data!C71*100,2)</f>
        <v>33.15</v>
      </c>
      <c r="E71" s="1" t="n">
        <v>27.61</v>
      </c>
      <c r="F71" s="1" t="n">
        <v>33.91</v>
      </c>
      <c r="G71" s="1" t="n">
        <v>6.3</v>
      </c>
      <c r="H71" s="1" t="n">
        <v>22.82</v>
      </c>
      <c r="I71" s="1" t="s">
        <v>13</v>
      </c>
      <c r="J71" s="1" t="s">
        <v>267</v>
      </c>
    </row>
    <row r="72" customFormat="false" ht="13.5" hidden="false" customHeight="true" outlineLevel="0" collapsed="false">
      <c r="A72" s="1" t="s">
        <v>268</v>
      </c>
      <c r="B72" s="1" t="s">
        <v>269</v>
      </c>
      <c r="C72" s="1" t="s">
        <v>270</v>
      </c>
      <c r="D72" s="3" t="n">
        <f aca="false">ROUND((Data!C72-Data!E72)/Data!C72*100,2)</f>
        <v>50.49</v>
      </c>
      <c r="E72" s="1" t="n">
        <v>415.56</v>
      </c>
      <c r="F72" s="1" t="n">
        <v>510</v>
      </c>
      <c r="G72" s="1" t="n">
        <v>94.44</v>
      </c>
      <c r="H72" s="1" t="n">
        <v>22.73</v>
      </c>
      <c r="I72" s="1" t="s">
        <v>13</v>
      </c>
      <c r="J72" s="1" t="s">
        <v>271</v>
      </c>
    </row>
    <row r="73" customFormat="false" ht="13.5" hidden="false" customHeight="true" outlineLevel="0" collapsed="false">
      <c r="A73" s="1" t="s">
        <v>244</v>
      </c>
      <c r="B73" s="1" t="s">
        <v>272</v>
      </c>
      <c r="C73" s="1" t="s">
        <v>273</v>
      </c>
      <c r="D73" s="3" t="n">
        <f aca="false">ROUND((Data!C73-Data!E73)/Data!C73*100,2)</f>
        <v>57.51</v>
      </c>
      <c r="E73" s="1" t="n">
        <v>126.85</v>
      </c>
      <c r="F73" s="1" t="n">
        <v>155.6</v>
      </c>
      <c r="G73" s="1" t="n">
        <v>28.75</v>
      </c>
      <c r="H73" s="1" t="n">
        <v>22.66</v>
      </c>
      <c r="I73" s="1" t="s">
        <v>13</v>
      </c>
      <c r="J73" s="1" t="s">
        <v>274</v>
      </c>
    </row>
    <row r="74" customFormat="false" ht="13.5" hidden="false" customHeight="true" outlineLevel="0" collapsed="false">
      <c r="A74" s="1" t="s">
        <v>51</v>
      </c>
      <c r="B74" s="1" t="s">
        <v>275</v>
      </c>
      <c r="C74" s="1" t="s">
        <v>276</v>
      </c>
      <c r="D74" s="3" t="n">
        <f aca="false">ROUND((Data!C74-Data!E74)/Data!C74*100,2)</f>
        <v>60.77</v>
      </c>
      <c r="E74" s="1" t="n">
        <v>57.67</v>
      </c>
      <c r="F74" s="1" t="n">
        <v>70.73</v>
      </c>
      <c r="G74" s="1" t="n">
        <v>13.06</v>
      </c>
      <c r="H74" s="1" t="n">
        <v>22.65</v>
      </c>
      <c r="I74" s="1" t="s">
        <v>13</v>
      </c>
      <c r="J74" s="1" t="s">
        <v>277</v>
      </c>
    </row>
    <row r="75" customFormat="false" ht="13.5" hidden="false" customHeight="true" outlineLevel="0" collapsed="false">
      <c r="A75" s="1" t="s">
        <v>278</v>
      </c>
      <c r="B75" s="1" t="s">
        <v>279</v>
      </c>
      <c r="C75" s="1" t="s">
        <v>280</v>
      </c>
      <c r="D75" s="3" t="n">
        <f aca="false">ROUND((Data!C75-Data!E75)/Data!C75*100,2)</f>
        <v>61.6</v>
      </c>
      <c r="E75" s="1" t="n">
        <v>29.92</v>
      </c>
      <c r="F75" s="1" t="n">
        <v>36.63</v>
      </c>
      <c r="G75" s="1" t="n">
        <v>6.71</v>
      </c>
      <c r="H75" s="1" t="n">
        <v>22.43</v>
      </c>
      <c r="I75" s="1" t="s">
        <v>13</v>
      </c>
      <c r="J75" s="1" t="s">
        <v>281</v>
      </c>
    </row>
    <row r="76" customFormat="false" ht="13.5" hidden="false" customHeight="true" outlineLevel="0" collapsed="false">
      <c r="A76" s="1" t="s">
        <v>114</v>
      </c>
      <c r="B76" s="1" t="s">
        <v>282</v>
      </c>
      <c r="C76" s="1" t="s">
        <v>283</v>
      </c>
      <c r="D76" s="3" t="n">
        <f aca="false">ROUND((Data!C76-Data!E76)/Data!C76*100,2)</f>
        <v>52.72</v>
      </c>
      <c r="E76" s="1" t="n">
        <v>51.31</v>
      </c>
      <c r="F76" s="1" t="n">
        <v>62.79</v>
      </c>
      <c r="G76" s="1" t="n">
        <v>11.48</v>
      </c>
      <c r="H76" s="1" t="n">
        <v>22.37</v>
      </c>
      <c r="I76" s="1" t="s">
        <v>13</v>
      </c>
      <c r="J76" s="1" t="s">
        <v>284</v>
      </c>
    </row>
    <row r="77" customFormat="false" ht="13.5" hidden="false" customHeight="true" outlineLevel="0" collapsed="false">
      <c r="A77" s="1" t="s">
        <v>285</v>
      </c>
      <c r="B77" s="1" t="s">
        <v>286</v>
      </c>
      <c r="C77" s="1" t="s">
        <v>287</v>
      </c>
      <c r="D77" s="3" t="n">
        <f aca="false">ROUND((Data!C77-Data!E77)/Data!C77*100,2)</f>
        <v>62.59</v>
      </c>
      <c r="E77" s="1" t="n">
        <v>40.06</v>
      </c>
      <c r="F77" s="1" t="n">
        <v>49.02</v>
      </c>
      <c r="G77" s="1" t="n">
        <v>8.96</v>
      </c>
      <c r="H77" s="1" t="n">
        <v>22.37</v>
      </c>
      <c r="I77" s="1" t="s">
        <v>13</v>
      </c>
      <c r="J77" s="1" t="s">
        <v>288</v>
      </c>
    </row>
    <row r="78" customFormat="false" ht="13.5" hidden="false" customHeight="true" outlineLevel="0" collapsed="false">
      <c r="A78" s="1" t="s">
        <v>289</v>
      </c>
      <c r="B78" s="1" t="s">
        <v>290</v>
      </c>
      <c r="C78" s="1" t="s">
        <v>291</v>
      </c>
      <c r="D78" s="3" t="n">
        <f aca="false">ROUND((Data!C78-Data!E78)/Data!C78*100,2)</f>
        <v>56.74</v>
      </c>
      <c r="E78" s="1" t="n">
        <v>94.7</v>
      </c>
      <c r="F78" s="1" t="n">
        <v>115.86</v>
      </c>
      <c r="G78" s="1" t="n">
        <v>21.16</v>
      </c>
      <c r="H78" s="1" t="n">
        <v>22.34</v>
      </c>
      <c r="I78" s="1" t="s">
        <v>13</v>
      </c>
      <c r="J78" s="1" t="s">
        <v>292</v>
      </c>
    </row>
    <row r="79" customFormat="false" ht="13.5" hidden="false" customHeight="true" outlineLevel="0" collapsed="false">
      <c r="A79" s="1" t="s">
        <v>85</v>
      </c>
      <c r="B79" s="1" t="s">
        <v>293</v>
      </c>
      <c r="C79" s="1" t="s">
        <v>294</v>
      </c>
      <c r="D79" s="3" t="n">
        <f aca="false">ROUND((Data!C79-Data!E79)/Data!C79*100,2)</f>
        <v>58.62</v>
      </c>
      <c r="E79" s="1" t="n">
        <v>12.31</v>
      </c>
      <c r="F79" s="1" t="n">
        <v>15.05</v>
      </c>
      <c r="G79" s="1" t="n">
        <v>2.74</v>
      </c>
      <c r="H79" s="1" t="n">
        <v>22.26</v>
      </c>
      <c r="I79" s="1" t="s">
        <v>13</v>
      </c>
      <c r="J79" s="1" t="s">
        <v>295</v>
      </c>
    </row>
    <row r="80" customFormat="false" ht="13.5" hidden="false" customHeight="true" outlineLevel="0" collapsed="false">
      <c r="A80" s="1" t="s">
        <v>203</v>
      </c>
      <c r="B80" s="1" t="s">
        <v>296</v>
      </c>
      <c r="C80" s="1" t="s">
        <v>297</v>
      </c>
      <c r="D80" s="3" t="n">
        <f aca="false">ROUND((Data!C80-Data!E80)/Data!C80*100,2)</f>
        <v>51.95</v>
      </c>
      <c r="E80" s="1" t="n">
        <v>58.09</v>
      </c>
      <c r="F80" s="1" t="n">
        <v>70.98</v>
      </c>
      <c r="G80" s="1" t="n">
        <v>12.89</v>
      </c>
      <c r="H80" s="1" t="n">
        <v>22.19</v>
      </c>
      <c r="I80" s="1" t="s">
        <v>13</v>
      </c>
      <c r="J80" s="1" t="s">
        <v>298</v>
      </c>
    </row>
    <row r="81" customFormat="false" ht="13.5" hidden="false" customHeight="true" outlineLevel="0" collapsed="false">
      <c r="A81" s="1" t="s">
        <v>299</v>
      </c>
      <c r="B81" s="1" t="s">
        <v>300</v>
      </c>
      <c r="C81" s="1" t="s">
        <v>301</v>
      </c>
      <c r="D81" s="3" t="n">
        <f aca="false">ROUND((Data!C81-Data!E81)/Data!C81*100,2)</f>
        <v>58.98</v>
      </c>
      <c r="E81" s="1" t="n">
        <v>112.83</v>
      </c>
      <c r="F81" s="1" t="n">
        <v>137.86</v>
      </c>
      <c r="G81" s="1" t="n">
        <v>25.03</v>
      </c>
      <c r="H81" s="1" t="n">
        <v>22.18</v>
      </c>
      <c r="I81" s="1" t="s">
        <v>13</v>
      </c>
      <c r="J81" s="1" t="s">
        <v>302</v>
      </c>
    </row>
    <row r="82" customFormat="false" ht="13.5" hidden="false" customHeight="true" outlineLevel="0" collapsed="false">
      <c r="A82" s="1" t="s">
        <v>268</v>
      </c>
      <c r="B82" s="1" t="s">
        <v>303</v>
      </c>
      <c r="C82" s="1" t="s">
        <v>304</v>
      </c>
      <c r="D82" s="3" t="n">
        <f aca="false">ROUND((Data!C82-Data!E82)/Data!C82*100,2)</f>
        <v>59.13</v>
      </c>
      <c r="E82" s="1" t="n">
        <v>33.83</v>
      </c>
      <c r="F82" s="1" t="n">
        <v>41.31</v>
      </c>
      <c r="G82" s="1" t="n">
        <v>7.48</v>
      </c>
      <c r="H82" s="1" t="n">
        <v>22.11</v>
      </c>
      <c r="I82" s="1" t="s">
        <v>13</v>
      </c>
      <c r="J82" s="1" t="s">
        <v>305</v>
      </c>
    </row>
    <row r="83" customFormat="false" ht="13.5" hidden="false" customHeight="true" outlineLevel="0" collapsed="false">
      <c r="A83" s="1" t="s">
        <v>114</v>
      </c>
      <c r="B83" s="1" t="s">
        <v>306</v>
      </c>
      <c r="C83" s="1" t="s">
        <v>307</v>
      </c>
      <c r="D83" s="3" t="n">
        <f aca="false">ROUND((Data!C83-Data!E83)/Data!C83*100,2)</f>
        <v>48.13</v>
      </c>
      <c r="E83" s="1" t="n">
        <v>233</v>
      </c>
      <c r="F83" s="1" t="n">
        <v>283.8</v>
      </c>
      <c r="G83" s="1" t="n">
        <v>50.8</v>
      </c>
      <c r="H83" s="1" t="n">
        <v>21.8</v>
      </c>
      <c r="I83" s="1" t="s">
        <v>13</v>
      </c>
      <c r="J83" s="1" t="s">
        <v>308</v>
      </c>
    </row>
    <row r="84" customFormat="false" ht="13.5" hidden="false" customHeight="true" outlineLevel="0" collapsed="false">
      <c r="A84" s="1" t="s">
        <v>309</v>
      </c>
      <c r="B84" s="1" t="s">
        <v>310</v>
      </c>
      <c r="C84" s="1" t="s">
        <v>311</v>
      </c>
      <c r="D84" s="3" t="n">
        <f aca="false">ROUND((Data!C84-Data!E84)/Data!C84*100,2)</f>
        <v>55.86</v>
      </c>
      <c r="E84" s="1" t="n">
        <v>31.69</v>
      </c>
      <c r="F84" s="1" t="n">
        <v>38.55</v>
      </c>
      <c r="G84" s="1" t="n">
        <v>6.86</v>
      </c>
      <c r="H84" s="1" t="n">
        <v>21.65</v>
      </c>
      <c r="I84" s="1" t="s">
        <v>13</v>
      </c>
      <c r="J84" s="1" t="s">
        <v>312</v>
      </c>
    </row>
    <row r="85" customFormat="false" ht="13.5" hidden="false" customHeight="true" outlineLevel="0" collapsed="false">
      <c r="A85" s="1" t="s">
        <v>313</v>
      </c>
      <c r="B85" s="1" t="s">
        <v>314</v>
      </c>
      <c r="C85" s="1" t="s">
        <v>315</v>
      </c>
      <c r="D85" s="3" t="n">
        <f aca="false">ROUND((Data!C85-Data!E85)/Data!C85*100,2)</f>
        <v>32.88</v>
      </c>
      <c r="E85" s="1" t="n">
        <v>77.72</v>
      </c>
      <c r="F85" s="1" t="n">
        <v>94.5</v>
      </c>
      <c r="G85" s="1" t="n">
        <v>16.78</v>
      </c>
      <c r="H85" s="1" t="n">
        <v>21.59</v>
      </c>
      <c r="I85" s="1" t="s">
        <v>13</v>
      </c>
      <c r="J85" s="1" t="s">
        <v>316</v>
      </c>
    </row>
    <row r="86" customFormat="false" ht="13.5" hidden="false" customHeight="true" outlineLevel="0" collapsed="false">
      <c r="A86" s="1" t="s">
        <v>19</v>
      </c>
      <c r="B86" s="1" t="s">
        <v>317</v>
      </c>
      <c r="C86" s="1" t="s">
        <v>318</v>
      </c>
      <c r="D86" s="3" t="n">
        <f aca="false">ROUND((Data!C86-Data!E86)/Data!C86*100,2)</f>
        <v>40.12</v>
      </c>
      <c r="E86" s="1" t="n">
        <v>103.75</v>
      </c>
      <c r="F86" s="1" t="n">
        <v>125.87</v>
      </c>
      <c r="G86" s="1" t="n">
        <v>22.12</v>
      </c>
      <c r="H86" s="1" t="n">
        <v>21.32</v>
      </c>
      <c r="I86" s="1" t="s">
        <v>13</v>
      </c>
      <c r="J86" s="1" t="s">
        <v>319</v>
      </c>
    </row>
    <row r="87" customFormat="false" ht="13.5" hidden="false" customHeight="true" outlineLevel="0" collapsed="false">
      <c r="A87" s="1" t="s">
        <v>320</v>
      </c>
      <c r="B87" s="1" t="s">
        <v>321</v>
      </c>
      <c r="C87" s="1" t="s">
        <v>322</v>
      </c>
      <c r="D87" s="3" t="n">
        <f aca="false">ROUND((Data!C87-Data!E87)/Data!C87*100,2)</f>
        <v>59.01</v>
      </c>
      <c r="E87" s="1" t="n">
        <v>15.03</v>
      </c>
      <c r="F87" s="1" t="n">
        <v>18.2</v>
      </c>
      <c r="G87" s="1" t="n">
        <v>3.17</v>
      </c>
      <c r="H87" s="1" t="n">
        <v>21.09</v>
      </c>
      <c r="I87" s="1" t="s">
        <v>13</v>
      </c>
      <c r="J87" s="1" t="s">
        <v>323</v>
      </c>
    </row>
    <row r="88" customFormat="false" ht="13.5" hidden="false" customHeight="true" outlineLevel="0" collapsed="false">
      <c r="A88" s="1" t="s">
        <v>324</v>
      </c>
      <c r="B88" s="1" t="s">
        <v>325</v>
      </c>
      <c r="C88" s="1" t="s">
        <v>326</v>
      </c>
      <c r="D88" s="3" t="n">
        <f aca="false">ROUND((Data!C88-Data!E88)/Data!C88*100,2)</f>
        <v>38.59</v>
      </c>
      <c r="E88" s="1" t="n">
        <v>65.24</v>
      </c>
      <c r="F88" s="1" t="n">
        <v>78.97</v>
      </c>
      <c r="G88" s="1" t="n">
        <v>13.73</v>
      </c>
      <c r="H88" s="1" t="n">
        <v>21.05</v>
      </c>
      <c r="I88" s="1" t="s">
        <v>13</v>
      </c>
      <c r="J88" s="1" t="s">
        <v>327</v>
      </c>
    </row>
    <row r="89" customFormat="false" ht="13.5" hidden="false" customHeight="true" outlineLevel="0" collapsed="false">
      <c r="A89" s="1" t="s">
        <v>328</v>
      </c>
      <c r="B89" s="1" t="s">
        <v>329</v>
      </c>
      <c r="C89" s="1" t="s">
        <v>330</v>
      </c>
      <c r="D89" s="3" t="n">
        <f aca="false">ROUND((Data!C89-Data!E89)/Data!C89*100,2)</f>
        <v>54.35</v>
      </c>
      <c r="E89" s="1" t="n">
        <v>37.98</v>
      </c>
      <c r="F89" s="1" t="n">
        <v>45.97</v>
      </c>
      <c r="G89" s="1" t="n">
        <v>7.99</v>
      </c>
      <c r="H89" s="1" t="n">
        <v>21.04</v>
      </c>
      <c r="I89" s="1" t="s">
        <v>13</v>
      </c>
      <c r="J89" s="1" t="s">
        <v>331</v>
      </c>
    </row>
    <row r="90" customFormat="false" ht="13.5" hidden="false" customHeight="true" outlineLevel="0" collapsed="false">
      <c r="A90" s="1" t="s">
        <v>332</v>
      </c>
      <c r="B90" s="1" t="s">
        <v>333</v>
      </c>
      <c r="C90" s="1" t="s">
        <v>334</v>
      </c>
      <c r="D90" s="3" t="n">
        <f aca="false">ROUND((Data!C90-Data!E90)/Data!C90*100,2)</f>
        <v>57.18</v>
      </c>
      <c r="E90" s="1" t="n">
        <v>37.1</v>
      </c>
      <c r="F90" s="1" t="n">
        <v>44.88</v>
      </c>
      <c r="G90" s="1" t="n">
        <v>7.78</v>
      </c>
      <c r="H90" s="1" t="n">
        <v>20.97</v>
      </c>
      <c r="I90" s="1" t="s">
        <v>13</v>
      </c>
      <c r="J90" s="1" t="s">
        <v>335</v>
      </c>
    </row>
    <row r="91" customFormat="false" ht="13.5" hidden="false" customHeight="true" outlineLevel="0" collapsed="false">
      <c r="A91" s="1" t="s">
        <v>336</v>
      </c>
      <c r="B91" s="1" t="s">
        <v>337</v>
      </c>
      <c r="C91" s="1" t="s">
        <v>338</v>
      </c>
      <c r="D91" s="3" t="n">
        <f aca="false">ROUND((Data!C91-Data!E91)/Data!C91*100,2)</f>
        <v>57.87</v>
      </c>
      <c r="E91" s="1" t="n">
        <v>35.65</v>
      </c>
      <c r="F91" s="1" t="n">
        <v>43.11</v>
      </c>
      <c r="G91" s="1" t="n">
        <v>7.46</v>
      </c>
      <c r="H91" s="1" t="n">
        <v>20.93</v>
      </c>
      <c r="I91" s="1" t="s">
        <v>13</v>
      </c>
      <c r="J91" s="1" t="s">
        <v>339</v>
      </c>
    </row>
    <row r="92" customFormat="false" ht="13.5" hidden="false" customHeight="true" outlineLevel="0" collapsed="false">
      <c r="A92" s="1" t="s">
        <v>340</v>
      </c>
      <c r="B92" s="1" t="s">
        <v>341</v>
      </c>
      <c r="C92" s="1" t="s">
        <v>342</v>
      </c>
      <c r="D92" s="3" t="n">
        <f aca="false">ROUND((Data!C92-Data!E92)/Data!C92*100,2)</f>
        <v>42.2</v>
      </c>
      <c r="E92" s="1" t="n">
        <v>47.97</v>
      </c>
      <c r="F92" s="1" t="n">
        <v>57.91</v>
      </c>
      <c r="G92" s="1" t="n">
        <v>9.94</v>
      </c>
      <c r="H92" s="1" t="n">
        <v>20.72</v>
      </c>
      <c r="I92" s="1" t="s">
        <v>13</v>
      </c>
      <c r="J92" s="1" t="s">
        <v>343</v>
      </c>
    </row>
    <row r="93" customFormat="false" ht="13.5" hidden="false" customHeight="true" outlineLevel="0" collapsed="false">
      <c r="A93" s="1" t="s">
        <v>336</v>
      </c>
      <c r="B93" s="1" t="s">
        <v>344</v>
      </c>
      <c r="C93" s="1" t="s">
        <v>345</v>
      </c>
      <c r="D93" s="3" t="n">
        <f aca="false">ROUND((Data!C93-Data!E93)/Data!C93*100,2)</f>
        <v>57.11</v>
      </c>
      <c r="E93" s="1" t="n">
        <v>7.01</v>
      </c>
      <c r="F93" s="1" t="n">
        <v>8.46</v>
      </c>
      <c r="G93" s="1" t="n">
        <v>1.45</v>
      </c>
      <c r="H93" s="1" t="n">
        <v>20.68</v>
      </c>
      <c r="I93" s="1" t="s">
        <v>13</v>
      </c>
      <c r="J93" s="1" t="s">
        <v>346</v>
      </c>
    </row>
    <row r="94" customFormat="false" ht="13.5" hidden="false" customHeight="true" outlineLevel="0" collapsed="false">
      <c r="A94" s="1" t="s">
        <v>347</v>
      </c>
      <c r="B94" s="1" t="s">
        <v>348</v>
      </c>
      <c r="C94" s="1" t="s">
        <v>349</v>
      </c>
      <c r="D94" s="3" t="n">
        <f aca="false">ROUND((Data!C94-Data!E94)/Data!C94*100,2)</f>
        <v>52.89</v>
      </c>
      <c r="E94" s="1" t="n">
        <v>48.36</v>
      </c>
      <c r="F94" s="1" t="n">
        <v>58.32</v>
      </c>
      <c r="G94" s="1" t="n">
        <v>9.96</v>
      </c>
      <c r="H94" s="1" t="n">
        <v>20.6</v>
      </c>
      <c r="I94" s="1" t="s">
        <v>13</v>
      </c>
      <c r="J94" s="1" t="s">
        <v>350</v>
      </c>
    </row>
    <row r="95" customFormat="false" ht="13.5" hidden="false" customHeight="true" outlineLevel="0" collapsed="false">
      <c r="A95" s="1" t="s">
        <v>93</v>
      </c>
      <c r="B95" s="1" t="s">
        <v>351</v>
      </c>
      <c r="C95" s="1" t="s">
        <v>352</v>
      </c>
      <c r="D95" s="3" t="n">
        <f aca="false">ROUND((Data!C95-Data!E95)/Data!C95*100,2)</f>
        <v>47.55</v>
      </c>
      <c r="E95" s="1" t="n">
        <v>114.11</v>
      </c>
      <c r="F95" s="1" t="n">
        <v>137.51</v>
      </c>
      <c r="G95" s="1" t="n">
        <v>23.4</v>
      </c>
      <c r="H95" s="1" t="n">
        <v>20.51</v>
      </c>
      <c r="I95" s="1" t="s">
        <v>13</v>
      </c>
      <c r="J95" s="1" t="s">
        <v>353</v>
      </c>
    </row>
    <row r="96" customFormat="false" ht="13.5" hidden="false" customHeight="true" outlineLevel="0" collapsed="false">
      <c r="A96" s="1" t="s">
        <v>354</v>
      </c>
      <c r="B96" s="1" t="s">
        <v>355</v>
      </c>
      <c r="C96" s="1" t="s">
        <v>356</v>
      </c>
      <c r="D96" s="3" t="n">
        <f aca="false">ROUND((Data!C96-Data!E96)/Data!C96*100,2)</f>
        <v>58.46</v>
      </c>
      <c r="E96" s="1" t="n">
        <v>147.68</v>
      </c>
      <c r="F96" s="1" t="n">
        <v>177.84</v>
      </c>
      <c r="G96" s="1" t="n">
        <v>30.16</v>
      </c>
      <c r="H96" s="1" t="n">
        <v>20.42</v>
      </c>
      <c r="I96" s="1" t="s">
        <v>13</v>
      </c>
      <c r="J96" s="1" t="s">
        <v>357</v>
      </c>
    </row>
    <row r="97" customFormat="false" ht="13.5" hidden="false" customHeight="true" outlineLevel="0" collapsed="false">
      <c r="A97" s="1" t="s">
        <v>358</v>
      </c>
      <c r="B97" s="1" t="s">
        <v>359</v>
      </c>
      <c r="C97" s="1" t="s">
        <v>360</v>
      </c>
      <c r="D97" s="3" t="n">
        <f aca="false">ROUND((Data!C97-Data!E97)/Data!C97*100,2)</f>
        <v>59.83</v>
      </c>
      <c r="E97" s="1" t="n">
        <v>176.68</v>
      </c>
      <c r="F97" s="1" t="n">
        <v>212.71</v>
      </c>
      <c r="G97" s="1" t="n">
        <v>36.03</v>
      </c>
      <c r="H97" s="1" t="n">
        <v>20.39</v>
      </c>
      <c r="I97" s="1" t="s">
        <v>13</v>
      </c>
      <c r="J97" s="1" t="s">
        <v>361</v>
      </c>
    </row>
    <row r="98" customFormat="false" ht="13.5" hidden="false" customHeight="true" outlineLevel="0" collapsed="false">
      <c r="A98" s="1" t="s">
        <v>362</v>
      </c>
      <c r="B98" s="1" t="s">
        <v>363</v>
      </c>
      <c r="C98" s="1" t="s">
        <v>364</v>
      </c>
      <c r="D98" s="3" t="n">
        <f aca="false">ROUND((Data!C98-Data!E98)/Data!C98*100,2)</f>
        <v>51.36</v>
      </c>
      <c r="E98" s="1" t="n">
        <v>26.01</v>
      </c>
      <c r="F98" s="1" t="n">
        <v>31.28</v>
      </c>
      <c r="G98" s="1" t="n">
        <v>5.27</v>
      </c>
      <c r="H98" s="1" t="n">
        <v>20.26</v>
      </c>
      <c r="I98" s="1" t="s">
        <v>13</v>
      </c>
      <c r="J98" s="1" t="s">
        <v>365</v>
      </c>
    </row>
    <row r="99" customFormat="false" ht="13.5" hidden="false" customHeight="true" outlineLevel="0" collapsed="false">
      <c r="A99" s="1" t="s">
        <v>366</v>
      </c>
      <c r="B99" s="1" t="s">
        <v>367</v>
      </c>
      <c r="C99" s="1" t="s">
        <v>368</v>
      </c>
      <c r="D99" s="3" t="n">
        <f aca="false">ROUND((Data!C99-Data!E99)/Data!C99*100,2)</f>
        <v>37.64</v>
      </c>
      <c r="E99" s="1" t="n">
        <v>56.7</v>
      </c>
      <c r="F99" s="1" t="n">
        <v>68.18</v>
      </c>
      <c r="G99" s="1" t="n">
        <v>11.48</v>
      </c>
      <c r="H99" s="1" t="n">
        <v>20.25</v>
      </c>
      <c r="I99" s="1" t="s">
        <v>13</v>
      </c>
      <c r="J99" s="1" t="s">
        <v>369</v>
      </c>
    </row>
    <row r="100" customFormat="false" ht="13.5" hidden="false" customHeight="true" outlineLevel="0" collapsed="false">
      <c r="A100" s="1" t="s">
        <v>240</v>
      </c>
      <c r="B100" s="1" t="s">
        <v>370</v>
      </c>
      <c r="C100" s="1" t="s">
        <v>371</v>
      </c>
      <c r="D100" s="3" t="n">
        <f aca="false">ROUND((Data!C100-Data!E100)/Data!C100*100,2)</f>
        <v>55.8</v>
      </c>
      <c r="E100" s="1" t="n">
        <v>263.39</v>
      </c>
      <c r="F100" s="1" t="n">
        <v>316.7</v>
      </c>
      <c r="G100" s="1" t="n">
        <v>53.31</v>
      </c>
      <c r="H100" s="1" t="n">
        <v>20.24</v>
      </c>
      <c r="I100" s="1" t="s">
        <v>13</v>
      </c>
      <c r="J100" s="1" t="s">
        <v>372</v>
      </c>
    </row>
    <row r="101" customFormat="false" ht="13.5" hidden="false" customHeight="true" outlineLevel="0" collapsed="false">
      <c r="A101" s="1" t="s">
        <v>373</v>
      </c>
      <c r="B101" s="1" t="s">
        <v>374</v>
      </c>
      <c r="C101" s="1" t="s">
        <v>375</v>
      </c>
      <c r="D101" s="3" t="n">
        <f aca="false">ROUND((Data!C101-Data!E101)/Data!C101*100,2)</f>
        <v>52.66</v>
      </c>
      <c r="E101" s="1" t="n">
        <v>113.79</v>
      </c>
      <c r="F101" s="1" t="n">
        <v>136.65</v>
      </c>
      <c r="G101" s="1" t="n">
        <v>22.86</v>
      </c>
      <c r="H101" s="1" t="n">
        <v>20.09</v>
      </c>
      <c r="I101" s="1" t="s">
        <v>13</v>
      </c>
      <c r="J101" s="1" t="s">
        <v>376</v>
      </c>
    </row>
    <row r="102" customFormat="false" ht="13.5" hidden="false" customHeight="true" outlineLevel="0" collapsed="false">
      <c r="A102" s="1" t="s">
        <v>377</v>
      </c>
      <c r="B102" s="1" t="s">
        <v>378</v>
      </c>
      <c r="C102" s="1" t="s">
        <v>379</v>
      </c>
      <c r="D102" s="3" t="n">
        <f aca="false">ROUND((Data!C102-Data!E102)/Data!C102*100,2)</f>
        <v>55.53</v>
      </c>
      <c r="E102" s="1" t="n">
        <v>48.6</v>
      </c>
      <c r="F102" s="1" t="n">
        <v>58.31</v>
      </c>
      <c r="G102" s="1" t="n">
        <v>9.71</v>
      </c>
      <c r="H102" s="1" t="n">
        <v>19.98</v>
      </c>
      <c r="I102" s="1" t="s">
        <v>13</v>
      </c>
      <c r="J102" s="1" t="s">
        <v>380</v>
      </c>
    </row>
    <row r="103" customFormat="false" ht="13.5" hidden="false" customHeight="true" outlineLevel="0" collapsed="false">
      <c r="A103" s="1" t="s">
        <v>268</v>
      </c>
      <c r="B103" s="1" t="s">
        <v>381</v>
      </c>
      <c r="C103" s="1" t="s">
        <v>382</v>
      </c>
      <c r="D103" s="3" t="n">
        <f aca="false">ROUND((Data!C103-Data!E103)/Data!C103*100,2)</f>
        <v>58.05</v>
      </c>
      <c r="E103" s="1" t="n">
        <v>37.08</v>
      </c>
      <c r="F103" s="1" t="n">
        <v>44.48</v>
      </c>
      <c r="G103" s="1" t="n">
        <v>7.4</v>
      </c>
      <c r="H103" s="1" t="n">
        <v>19.96</v>
      </c>
      <c r="I103" s="1" t="s">
        <v>13</v>
      </c>
      <c r="J103" s="1" t="s">
        <v>383</v>
      </c>
    </row>
    <row r="104" customFormat="false" ht="13.5" hidden="false" customHeight="true" outlineLevel="0" collapsed="false">
      <c r="A104" s="1" t="s">
        <v>384</v>
      </c>
      <c r="B104" s="1" t="s">
        <v>385</v>
      </c>
      <c r="C104" s="1" t="s">
        <v>386</v>
      </c>
      <c r="D104" s="3" t="n">
        <f aca="false">ROUND((Data!C104-Data!E104)/Data!C104*100,2)</f>
        <v>59.39</v>
      </c>
      <c r="E104" s="1" t="n">
        <v>24.36</v>
      </c>
      <c r="F104" s="1" t="n">
        <v>29.22</v>
      </c>
      <c r="G104" s="1" t="n">
        <v>4.86</v>
      </c>
      <c r="H104" s="1" t="n">
        <v>19.95</v>
      </c>
      <c r="I104" s="1" t="s">
        <v>13</v>
      </c>
      <c r="J104" s="1" t="s">
        <v>387</v>
      </c>
    </row>
    <row r="105" customFormat="false" ht="13.5" hidden="false" customHeight="true" outlineLevel="0" collapsed="false">
      <c r="A105" s="1" t="s">
        <v>118</v>
      </c>
      <c r="B105" s="1" t="s">
        <v>388</v>
      </c>
      <c r="C105" s="1" t="s">
        <v>389</v>
      </c>
      <c r="D105" s="3" t="n">
        <f aca="false">ROUND((Data!C105-Data!E105)/Data!C105*100,2)</f>
        <v>55.53</v>
      </c>
      <c r="E105" s="1" t="n">
        <v>31.99</v>
      </c>
      <c r="F105" s="1" t="n">
        <v>38.32</v>
      </c>
      <c r="G105" s="1" t="n">
        <v>6.33</v>
      </c>
      <c r="H105" s="1" t="n">
        <v>19.79</v>
      </c>
      <c r="I105" s="1" t="s">
        <v>13</v>
      </c>
      <c r="J105" s="1" t="s">
        <v>390</v>
      </c>
    </row>
    <row r="106" customFormat="false" ht="13.5" hidden="false" customHeight="true" outlineLevel="0" collapsed="false">
      <c r="A106" s="1" t="s">
        <v>391</v>
      </c>
      <c r="B106" s="1" t="s">
        <v>392</v>
      </c>
      <c r="C106" s="1" t="s">
        <v>393</v>
      </c>
      <c r="D106" s="3" t="n">
        <f aca="false">ROUND((Data!C106-Data!E106)/Data!C106*100,2)</f>
        <v>41.22</v>
      </c>
      <c r="E106" s="1" t="n">
        <v>88.01</v>
      </c>
      <c r="F106" s="1" t="n">
        <v>105.16</v>
      </c>
      <c r="G106" s="1" t="n">
        <v>17.15</v>
      </c>
      <c r="H106" s="1" t="n">
        <v>19.49</v>
      </c>
      <c r="I106" s="1" t="s">
        <v>13</v>
      </c>
      <c r="J106" s="1" t="s">
        <v>394</v>
      </c>
    </row>
    <row r="107" customFormat="false" ht="13.5" hidden="false" customHeight="true" outlineLevel="0" collapsed="false">
      <c r="A107" s="1" t="s">
        <v>395</v>
      </c>
      <c r="B107" s="1" t="s">
        <v>396</v>
      </c>
      <c r="C107" s="1" t="s">
        <v>397</v>
      </c>
      <c r="D107" s="3" t="n">
        <f aca="false">ROUND((Data!C107-Data!E107)/Data!C107*100,2)</f>
        <v>54.69</v>
      </c>
      <c r="E107" s="1" t="n">
        <v>193</v>
      </c>
      <c r="F107" s="1" t="n">
        <v>230.5</v>
      </c>
      <c r="G107" s="1" t="n">
        <v>37.5</v>
      </c>
      <c r="H107" s="1" t="n">
        <v>19.43</v>
      </c>
      <c r="I107" s="1" t="s">
        <v>13</v>
      </c>
      <c r="J107" s="1" t="s">
        <v>398</v>
      </c>
    </row>
    <row r="108" customFormat="false" ht="13.5" hidden="false" customHeight="true" outlineLevel="0" collapsed="false">
      <c r="A108" s="1" t="s">
        <v>157</v>
      </c>
      <c r="B108" s="1" t="s">
        <v>399</v>
      </c>
      <c r="C108" s="1" t="s">
        <v>400</v>
      </c>
      <c r="D108" s="3" t="n">
        <f aca="false">ROUND((Data!C108-Data!E108)/Data!C108*100,2)</f>
        <v>45.4</v>
      </c>
      <c r="E108" s="1" t="n">
        <v>161.65</v>
      </c>
      <c r="F108" s="1" t="n">
        <v>193.04</v>
      </c>
      <c r="G108" s="1" t="n">
        <v>31.39</v>
      </c>
      <c r="H108" s="1" t="n">
        <v>19.42</v>
      </c>
      <c r="I108" s="1" t="s">
        <v>13</v>
      </c>
      <c r="J108" s="1" t="s">
        <v>401</v>
      </c>
    </row>
    <row r="109" customFormat="false" ht="13.5" hidden="false" customHeight="true" outlineLevel="0" collapsed="false">
      <c r="A109" s="1" t="s">
        <v>402</v>
      </c>
      <c r="B109" s="1" t="s">
        <v>403</v>
      </c>
      <c r="C109" s="1" t="s">
        <v>404</v>
      </c>
      <c r="D109" s="3" t="n">
        <f aca="false">ROUND((Data!C109-Data!E109)/Data!C109*100,2)</f>
        <v>44.46</v>
      </c>
      <c r="E109" s="1" t="n">
        <v>43.31</v>
      </c>
      <c r="F109" s="1" t="n">
        <v>51.7</v>
      </c>
      <c r="G109" s="1" t="n">
        <v>8.39</v>
      </c>
      <c r="H109" s="1" t="n">
        <v>19.37</v>
      </c>
      <c r="I109" s="1" t="s">
        <v>13</v>
      </c>
      <c r="J109" s="1" t="s">
        <v>405</v>
      </c>
    </row>
    <row r="110" customFormat="false" ht="13.5" hidden="false" customHeight="true" outlineLevel="0" collapsed="false">
      <c r="A110" s="1" t="s">
        <v>406</v>
      </c>
      <c r="B110" s="1" t="s">
        <v>407</v>
      </c>
      <c r="C110" s="1" t="s">
        <v>408</v>
      </c>
      <c r="D110" s="3" t="n">
        <f aca="false">ROUND((Data!C110-Data!E110)/Data!C110*100,2)</f>
        <v>59.27</v>
      </c>
      <c r="E110" s="1" t="n">
        <v>84.6</v>
      </c>
      <c r="F110" s="1" t="n">
        <v>100.94</v>
      </c>
      <c r="G110" s="1" t="n">
        <v>16.34</v>
      </c>
      <c r="H110" s="1" t="n">
        <v>19.31</v>
      </c>
      <c r="I110" s="1" t="s">
        <v>13</v>
      </c>
      <c r="J110" s="1" t="s">
        <v>409</v>
      </c>
    </row>
    <row r="111" customFormat="false" ht="13.5" hidden="false" customHeight="true" outlineLevel="0" collapsed="false">
      <c r="A111" s="1" t="s">
        <v>410</v>
      </c>
      <c r="B111" s="1" t="s">
        <v>411</v>
      </c>
      <c r="C111" s="1" t="s">
        <v>412</v>
      </c>
      <c r="D111" s="3" t="n">
        <f aca="false">ROUND((Data!C111-Data!E111)/Data!C111*100,2)</f>
        <v>48.33</v>
      </c>
      <c r="E111" s="1" t="n">
        <v>93.86</v>
      </c>
      <c r="F111" s="1" t="n">
        <v>111.88</v>
      </c>
      <c r="G111" s="1" t="n">
        <v>18.02</v>
      </c>
      <c r="H111" s="1" t="n">
        <v>19.2</v>
      </c>
      <c r="I111" s="1" t="s">
        <v>13</v>
      </c>
      <c r="J111" s="1" t="s">
        <v>413</v>
      </c>
    </row>
    <row r="112" customFormat="false" ht="13.5" hidden="false" customHeight="true" outlineLevel="0" collapsed="false">
      <c r="A112" s="1" t="s">
        <v>414</v>
      </c>
      <c r="B112" s="1" t="s">
        <v>415</v>
      </c>
      <c r="C112" s="1" t="s">
        <v>416</v>
      </c>
      <c r="D112" s="3" t="n">
        <f aca="false">ROUND((Data!C112-Data!E112)/Data!C112*100,2)</f>
        <v>47.75</v>
      </c>
      <c r="E112" s="1" t="n">
        <v>54.19</v>
      </c>
      <c r="F112" s="1" t="n">
        <v>64.52</v>
      </c>
      <c r="G112" s="1" t="n">
        <v>10.33</v>
      </c>
      <c r="H112" s="1" t="n">
        <v>19.06</v>
      </c>
      <c r="I112" s="1" t="s">
        <v>13</v>
      </c>
      <c r="J112" s="1" t="s">
        <v>417</v>
      </c>
    </row>
    <row r="113" customFormat="false" ht="13.5" hidden="false" customHeight="true" outlineLevel="0" collapsed="false">
      <c r="A113" s="1" t="s">
        <v>418</v>
      </c>
      <c r="B113" s="1" t="s">
        <v>419</v>
      </c>
      <c r="C113" s="1" t="s">
        <v>420</v>
      </c>
      <c r="D113" s="3" t="n">
        <f aca="false">ROUND((Data!C113-Data!E113)/Data!C113*100,2)</f>
        <v>56.14</v>
      </c>
      <c r="E113" s="1" t="n">
        <v>43.18</v>
      </c>
      <c r="F113" s="1" t="n">
        <v>51.39</v>
      </c>
      <c r="G113" s="1" t="n">
        <v>8.21</v>
      </c>
      <c r="H113" s="1" t="n">
        <v>19.01</v>
      </c>
      <c r="I113" s="1" t="s">
        <v>13</v>
      </c>
      <c r="J113" s="1" t="s">
        <v>421</v>
      </c>
    </row>
    <row r="114" customFormat="false" ht="13.5" hidden="false" customHeight="true" outlineLevel="0" collapsed="false">
      <c r="A114" s="1" t="s">
        <v>157</v>
      </c>
      <c r="B114" s="1" t="s">
        <v>422</v>
      </c>
      <c r="C114" s="1" t="s">
        <v>423</v>
      </c>
      <c r="D114" s="3" t="n">
        <f aca="false">ROUND((Data!C114-Data!E114)/Data!C114*100,2)</f>
        <v>50.6</v>
      </c>
      <c r="E114" s="1" t="n">
        <v>130.25</v>
      </c>
      <c r="F114" s="1" t="n">
        <v>154.78</v>
      </c>
      <c r="G114" s="1" t="n">
        <v>24.53</v>
      </c>
      <c r="H114" s="1" t="n">
        <v>18.83</v>
      </c>
      <c r="I114" s="1" t="s">
        <v>13</v>
      </c>
      <c r="J114" s="1" t="s">
        <v>424</v>
      </c>
    </row>
    <row r="115" customFormat="false" ht="13.5" hidden="false" customHeight="true" outlineLevel="0" collapsed="false">
      <c r="A115" s="1" t="s">
        <v>425</v>
      </c>
      <c r="B115" s="1" t="s">
        <v>426</v>
      </c>
      <c r="C115" s="1" t="s">
        <v>427</v>
      </c>
      <c r="D115" s="3" t="n">
        <f aca="false">ROUND((Data!C115-Data!E115)/Data!C115*100,2)</f>
        <v>51.53</v>
      </c>
      <c r="E115" s="1" t="n">
        <v>54.21</v>
      </c>
      <c r="F115" s="1" t="n">
        <v>64.4</v>
      </c>
      <c r="G115" s="1" t="n">
        <v>10.19</v>
      </c>
      <c r="H115" s="1" t="n">
        <v>18.8</v>
      </c>
      <c r="I115" s="1" t="s">
        <v>13</v>
      </c>
      <c r="J115" s="1" t="s">
        <v>428</v>
      </c>
    </row>
    <row r="116" customFormat="false" ht="13.5" hidden="false" customHeight="true" outlineLevel="0" collapsed="false">
      <c r="A116" s="1" t="s">
        <v>244</v>
      </c>
      <c r="B116" s="1" t="s">
        <v>429</v>
      </c>
      <c r="C116" s="1" t="s">
        <v>430</v>
      </c>
      <c r="D116" s="3" t="n">
        <f aca="false">ROUND((Data!C116-Data!E116)/Data!C116*100,2)</f>
        <v>61.3</v>
      </c>
      <c r="E116" s="1" t="n">
        <v>266</v>
      </c>
      <c r="F116" s="1" t="n">
        <v>316</v>
      </c>
      <c r="G116" s="1" t="n">
        <v>50</v>
      </c>
      <c r="H116" s="1" t="n">
        <v>18.8</v>
      </c>
      <c r="I116" s="1" t="s">
        <v>13</v>
      </c>
      <c r="J116" s="1" t="s">
        <v>431</v>
      </c>
    </row>
    <row r="117" customFormat="false" ht="13.5" hidden="false" customHeight="true" outlineLevel="0" collapsed="false">
      <c r="A117" s="1" t="s">
        <v>432</v>
      </c>
      <c r="B117" s="1" t="s">
        <v>433</v>
      </c>
      <c r="C117" s="1" t="s">
        <v>434</v>
      </c>
      <c r="D117" s="3" t="n">
        <f aca="false">ROUND((Data!C117-Data!E117)/Data!C117*100,2)</f>
        <v>54.01</v>
      </c>
      <c r="E117" s="1" t="n">
        <v>58.06</v>
      </c>
      <c r="F117" s="1" t="n">
        <v>68.96</v>
      </c>
      <c r="G117" s="1" t="n">
        <v>10.9</v>
      </c>
      <c r="H117" s="1" t="n">
        <v>18.77</v>
      </c>
      <c r="I117" s="1" t="s">
        <v>13</v>
      </c>
      <c r="J117" s="1" t="s">
        <v>435</v>
      </c>
    </row>
    <row r="118" customFormat="false" ht="13.5" hidden="false" customHeight="true" outlineLevel="0" collapsed="false">
      <c r="A118" s="1" t="s">
        <v>436</v>
      </c>
      <c r="B118" s="1" t="s">
        <v>437</v>
      </c>
      <c r="C118" s="1" t="s">
        <v>438</v>
      </c>
      <c r="D118" s="3" t="n">
        <f aca="false">ROUND((Data!C118-Data!E118)/Data!C118*100,2)</f>
        <v>59.33</v>
      </c>
      <c r="E118" s="1" t="n">
        <v>21.01</v>
      </c>
      <c r="F118" s="1" t="n">
        <v>24.9</v>
      </c>
      <c r="G118" s="1" t="n">
        <v>3.89</v>
      </c>
      <c r="H118" s="1" t="n">
        <v>18.51</v>
      </c>
      <c r="I118" s="1" t="s">
        <v>13</v>
      </c>
      <c r="J118" s="1" t="s">
        <v>439</v>
      </c>
    </row>
    <row r="119" customFormat="false" ht="13.5" hidden="false" customHeight="true" outlineLevel="0" collapsed="false">
      <c r="A119" s="1" t="s">
        <v>440</v>
      </c>
      <c r="B119" s="1" t="s">
        <v>441</v>
      </c>
      <c r="C119" s="1" t="s">
        <v>442</v>
      </c>
      <c r="D119" s="3" t="n">
        <f aca="false">ROUND((Data!C119-Data!E119)/Data!C119*100,2)</f>
        <v>54.7</v>
      </c>
      <c r="E119" s="1" t="n">
        <v>165.01</v>
      </c>
      <c r="F119" s="1" t="n">
        <v>195.51</v>
      </c>
      <c r="G119" s="1" t="n">
        <v>30.5</v>
      </c>
      <c r="H119" s="1" t="n">
        <v>18.48</v>
      </c>
      <c r="I119" s="1" t="s">
        <v>13</v>
      </c>
      <c r="J119" s="1" t="s">
        <v>443</v>
      </c>
    </row>
    <row r="120" customFormat="false" ht="13.5" hidden="false" customHeight="true" outlineLevel="0" collapsed="false">
      <c r="A120" s="1" t="s">
        <v>432</v>
      </c>
      <c r="B120" s="1" t="s">
        <v>444</v>
      </c>
      <c r="C120" s="1" t="s">
        <v>445</v>
      </c>
      <c r="D120" s="3" t="n">
        <f aca="false">ROUND((Data!C120-Data!E120)/Data!C120*100,2)</f>
        <v>43.35</v>
      </c>
      <c r="E120" s="1" t="n">
        <v>65.71</v>
      </c>
      <c r="F120" s="1" t="n">
        <v>77.75</v>
      </c>
      <c r="G120" s="1" t="n">
        <v>12.04</v>
      </c>
      <c r="H120" s="1" t="n">
        <v>18.32</v>
      </c>
      <c r="I120" s="1" t="s">
        <v>13</v>
      </c>
      <c r="J120" s="1" t="s">
        <v>446</v>
      </c>
    </row>
    <row r="121" customFormat="false" ht="13.5" hidden="false" customHeight="true" outlineLevel="0" collapsed="false">
      <c r="A121" s="1" t="s">
        <v>447</v>
      </c>
      <c r="B121" s="1" t="s">
        <v>448</v>
      </c>
      <c r="C121" s="1" t="s">
        <v>449</v>
      </c>
      <c r="D121" s="3" t="n">
        <f aca="false">ROUND((Data!C121-Data!E121)/Data!C121*100,2)</f>
        <v>57</v>
      </c>
      <c r="E121" s="1" t="n">
        <v>86.65</v>
      </c>
      <c r="F121" s="1" t="n">
        <v>102.49</v>
      </c>
      <c r="G121" s="1" t="n">
        <v>15.84</v>
      </c>
      <c r="H121" s="1" t="n">
        <v>18.28</v>
      </c>
      <c r="I121" s="1" t="s">
        <v>13</v>
      </c>
      <c r="J121" s="1" t="s">
        <v>450</v>
      </c>
    </row>
    <row r="122" customFormat="false" ht="13.5" hidden="false" customHeight="true" outlineLevel="0" collapsed="false">
      <c r="A122" s="1" t="s">
        <v>451</v>
      </c>
      <c r="B122" s="1" t="s">
        <v>452</v>
      </c>
      <c r="C122" s="1" t="s">
        <v>453</v>
      </c>
      <c r="D122" s="3" t="n">
        <f aca="false">ROUND((Data!C122-Data!E122)/Data!C122*100,2)</f>
        <v>55.08</v>
      </c>
      <c r="E122" s="1" t="n">
        <v>49.35</v>
      </c>
      <c r="F122" s="1" t="n">
        <v>58.29</v>
      </c>
      <c r="G122" s="1" t="n">
        <v>8.94</v>
      </c>
      <c r="H122" s="1" t="n">
        <v>18.12</v>
      </c>
      <c r="I122" s="1" t="s">
        <v>13</v>
      </c>
      <c r="J122" s="1" t="s">
        <v>454</v>
      </c>
    </row>
    <row r="123" customFormat="false" ht="13.5" hidden="false" customHeight="true" outlineLevel="0" collapsed="false">
      <c r="A123" s="1" t="s">
        <v>455</v>
      </c>
      <c r="B123" s="1" t="s">
        <v>456</v>
      </c>
      <c r="C123" s="1" t="s">
        <v>457</v>
      </c>
      <c r="D123" s="3" t="n">
        <f aca="false">ROUND((Data!C123-Data!E123)/Data!C123*100,2)</f>
        <v>56.17</v>
      </c>
      <c r="E123" s="1" t="n">
        <v>10.39</v>
      </c>
      <c r="F123" s="1" t="n">
        <v>12.27</v>
      </c>
      <c r="G123" s="1" t="n">
        <v>1.88</v>
      </c>
      <c r="H123" s="1" t="n">
        <v>18.09</v>
      </c>
      <c r="I123" s="1" t="s">
        <v>13</v>
      </c>
      <c r="J123" s="1" t="s">
        <v>458</v>
      </c>
    </row>
    <row r="124" customFormat="false" ht="13.5" hidden="false" customHeight="true" outlineLevel="0" collapsed="false">
      <c r="A124" s="1" t="s">
        <v>193</v>
      </c>
      <c r="B124" s="1" t="s">
        <v>459</v>
      </c>
      <c r="C124" s="1" t="s">
        <v>460</v>
      </c>
      <c r="D124" s="3" t="n">
        <f aca="false">ROUND((Data!C124-Data!E124)/Data!C124*100,2)</f>
        <v>60.17</v>
      </c>
      <c r="E124" s="1" t="n">
        <v>28.52</v>
      </c>
      <c r="F124" s="1" t="n">
        <v>33.67</v>
      </c>
      <c r="G124" s="1" t="n">
        <v>5.15</v>
      </c>
      <c r="H124" s="1" t="n">
        <v>18.06</v>
      </c>
      <c r="I124" s="1" t="s">
        <v>13</v>
      </c>
      <c r="J124" s="1" t="s">
        <v>461</v>
      </c>
    </row>
    <row r="125" customFormat="false" ht="13.5" hidden="false" customHeight="true" outlineLevel="0" collapsed="false">
      <c r="A125" s="1" t="s">
        <v>114</v>
      </c>
      <c r="B125" s="1" t="s">
        <v>462</v>
      </c>
      <c r="C125" s="1" t="s">
        <v>463</v>
      </c>
      <c r="D125" s="3" t="n">
        <f aca="false">ROUND((Data!C125-Data!E125)/Data!C125*100,2)</f>
        <v>51.27</v>
      </c>
      <c r="E125" s="1" t="n">
        <v>84.51</v>
      </c>
      <c r="F125" s="1" t="n">
        <v>99.75</v>
      </c>
      <c r="G125" s="1" t="n">
        <v>15.24</v>
      </c>
      <c r="H125" s="1" t="n">
        <v>18.03</v>
      </c>
      <c r="I125" s="1" t="s">
        <v>13</v>
      </c>
      <c r="J125" s="1" t="s">
        <v>464</v>
      </c>
    </row>
    <row r="126" customFormat="false" ht="13.5" hidden="false" customHeight="true" outlineLevel="0" collapsed="false">
      <c r="A126" s="1" t="s">
        <v>465</v>
      </c>
      <c r="B126" s="1" t="s">
        <v>466</v>
      </c>
      <c r="C126" s="1" t="s">
        <v>467</v>
      </c>
      <c r="D126" s="3" t="n">
        <f aca="false">ROUND((Data!C126-Data!E126)/Data!C126*100,2)</f>
        <v>49.64</v>
      </c>
      <c r="E126" s="1" t="n">
        <v>44.85</v>
      </c>
      <c r="F126" s="1" t="n">
        <v>52.92</v>
      </c>
      <c r="G126" s="1" t="n">
        <v>8.07</v>
      </c>
      <c r="H126" s="1" t="n">
        <v>17.99</v>
      </c>
      <c r="I126" s="1" t="s">
        <v>13</v>
      </c>
      <c r="J126" s="1" t="s">
        <v>468</v>
      </c>
    </row>
    <row r="127" customFormat="false" ht="13.5" hidden="false" customHeight="true" outlineLevel="0" collapsed="false">
      <c r="A127" s="1" t="s">
        <v>469</v>
      </c>
      <c r="B127" s="1" t="s">
        <v>470</v>
      </c>
      <c r="C127" s="1" t="s">
        <v>471</v>
      </c>
      <c r="D127" s="3" t="n">
        <f aca="false">ROUND((Data!C127-Data!E127)/Data!C127*100,2)</f>
        <v>54.38</v>
      </c>
      <c r="E127" s="1" t="n">
        <v>20.4</v>
      </c>
      <c r="F127" s="1" t="n">
        <v>24.04</v>
      </c>
      <c r="G127" s="1" t="n">
        <v>3.64</v>
      </c>
      <c r="H127" s="1" t="n">
        <v>17.84</v>
      </c>
      <c r="I127" s="1" t="s">
        <v>13</v>
      </c>
      <c r="J127" s="1" t="s">
        <v>472</v>
      </c>
    </row>
    <row r="128" customFormat="false" ht="13.5" hidden="false" customHeight="true" outlineLevel="0" collapsed="false">
      <c r="A128" s="1" t="s">
        <v>260</v>
      </c>
      <c r="B128" s="1" t="s">
        <v>473</v>
      </c>
      <c r="C128" s="1" t="s">
        <v>474</v>
      </c>
      <c r="D128" s="3" t="n">
        <f aca="false">ROUND((Data!C128-Data!E128)/Data!C128*100,2)</f>
        <v>47.43</v>
      </c>
      <c r="E128" s="1" t="n">
        <v>47.45</v>
      </c>
      <c r="F128" s="1" t="n">
        <v>55.9</v>
      </c>
      <c r="G128" s="1" t="n">
        <v>8.45</v>
      </c>
      <c r="H128" s="1" t="n">
        <v>17.81</v>
      </c>
      <c r="I128" s="1" t="s">
        <v>13</v>
      </c>
      <c r="J128" s="1" t="s">
        <v>475</v>
      </c>
    </row>
    <row r="129" customFormat="false" ht="13.5" hidden="false" customHeight="true" outlineLevel="0" collapsed="false">
      <c r="A129" s="1" t="s">
        <v>476</v>
      </c>
      <c r="B129" s="1" t="s">
        <v>477</v>
      </c>
      <c r="C129" s="1" t="s">
        <v>478</v>
      </c>
      <c r="D129" s="3" t="n">
        <f aca="false">ROUND((Data!C129-Data!E129)/Data!C129*100,2)</f>
        <v>55.06</v>
      </c>
      <c r="E129" s="1" t="n">
        <v>41.98</v>
      </c>
      <c r="F129" s="1" t="n">
        <v>49.45</v>
      </c>
      <c r="G129" s="1" t="n">
        <v>7.47</v>
      </c>
      <c r="H129" s="1" t="n">
        <v>17.79</v>
      </c>
      <c r="I129" s="1" t="s">
        <v>13</v>
      </c>
      <c r="J129" s="1" t="s">
        <v>479</v>
      </c>
    </row>
    <row r="130" customFormat="false" ht="13.5" hidden="false" customHeight="true" outlineLevel="0" collapsed="false">
      <c r="A130" s="1" t="s">
        <v>480</v>
      </c>
      <c r="B130" s="1" t="s">
        <v>481</v>
      </c>
      <c r="C130" s="1" t="s">
        <v>482</v>
      </c>
      <c r="D130" s="3" t="n">
        <f aca="false">ROUND((Data!C130-Data!E130)/Data!C130*100,2)</f>
        <v>53.24</v>
      </c>
      <c r="E130" s="1" t="n">
        <v>12.24</v>
      </c>
      <c r="F130" s="1" t="n">
        <v>14.4</v>
      </c>
      <c r="G130" s="1" t="n">
        <v>2.16</v>
      </c>
      <c r="H130" s="1" t="n">
        <v>17.65</v>
      </c>
      <c r="I130" s="1" t="s">
        <v>13</v>
      </c>
      <c r="J130" s="1" t="s">
        <v>483</v>
      </c>
    </row>
    <row r="131" customFormat="false" ht="13.5" hidden="false" customHeight="true" outlineLevel="0" collapsed="false">
      <c r="A131" s="1" t="s">
        <v>484</v>
      </c>
      <c r="B131" s="1" t="s">
        <v>485</v>
      </c>
      <c r="C131" s="1" t="s">
        <v>486</v>
      </c>
      <c r="D131" s="3" t="n">
        <f aca="false">ROUND((Data!C131-Data!E131)/Data!C131*100,2)</f>
        <v>46.62</v>
      </c>
      <c r="E131" s="1" t="n">
        <v>56.55</v>
      </c>
      <c r="F131" s="1" t="n">
        <v>66.51</v>
      </c>
      <c r="G131" s="1" t="n">
        <v>9.96</v>
      </c>
      <c r="H131" s="1" t="n">
        <v>17.61</v>
      </c>
      <c r="I131" s="1" t="s">
        <v>13</v>
      </c>
      <c r="J131" s="1" t="s">
        <v>487</v>
      </c>
    </row>
    <row r="132" customFormat="false" ht="13.5" hidden="false" customHeight="true" outlineLevel="0" collapsed="false">
      <c r="A132" s="1" t="s">
        <v>402</v>
      </c>
      <c r="B132" s="1" t="s">
        <v>488</v>
      </c>
      <c r="C132" s="1" t="s">
        <v>489</v>
      </c>
      <c r="D132" s="3" t="n">
        <f aca="false">ROUND((Data!C132-Data!E132)/Data!C132*100,2)</f>
        <v>42.06</v>
      </c>
      <c r="E132" s="1" t="n">
        <v>31.72</v>
      </c>
      <c r="F132" s="1" t="n">
        <v>37.3</v>
      </c>
      <c r="G132" s="1" t="n">
        <v>5.58</v>
      </c>
      <c r="H132" s="1" t="n">
        <v>17.59</v>
      </c>
      <c r="I132" s="1" t="s">
        <v>13</v>
      </c>
      <c r="J132" s="1" t="s">
        <v>490</v>
      </c>
    </row>
    <row r="133" customFormat="false" ht="13.5" hidden="false" customHeight="true" outlineLevel="0" collapsed="false">
      <c r="A133" s="1" t="s">
        <v>153</v>
      </c>
      <c r="B133" s="1" t="s">
        <v>491</v>
      </c>
      <c r="C133" s="1" t="s">
        <v>492</v>
      </c>
      <c r="D133" s="3" t="n">
        <f aca="false">ROUND((Data!C133-Data!E133)/Data!C133*100,2)</f>
        <v>57.48</v>
      </c>
      <c r="E133" s="1" t="n">
        <v>17.21</v>
      </c>
      <c r="F133" s="1" t="n">
        <v>20.23</v>
      </c>
      <c r="G133" s="1" t="n">
        <v>3.02</v>
      </c>
      <c r="H133" s="1" t="n">
        <v>17.55</v>
      </c>
      <c r="I133" s="1" t="s">
        <v>13</v>
      </c>
      <c r="J133" s="1" t="s">
        <v>493</v>
      </c>
    </row>
    <row r="134" customFormat="false" ht="13.5" hidden="false" customHeight="true" outlineLevel="0" collapsed="false">
      <c r="A134" s="1" t="s">
        <v>494</v>
      </c>
      <c r="B134" s="1" t="s">
        <v>495</v>
      </c>
      <c r="C134" s="1" t="s">
        <v>496</v>
      </c>
      <c r="D134" s="3" t="n">
        <f aca="false">ROUND((Data!C134-Data!E134)/Data!C134*100,2)</f>
        <v>48.36</v>
      </c>
      <c r="E134" s="1" t="n">
        <v>215.85</v>
      </c>
      <c r="F134" s="1" t="n">
        <v>253.67</v>
      </c>
      <c r="G134" s="1" t="n">
        <v>37.82</v>
      </c>
      <c r="H134" s="1" t="n">
        <v>17.52</v>
      </c>
      <c r="I134" s="1" t="s">
        <v>13</v>
      </c>
      <c r="J134" s="1" t="s">
        <v>497</v>
      </c>
    </row>
    <row r="135" customFormat="false" ht="13.5" hidden="false" customHeight="true" outlineLevel="0" collapsed="false">
      <c r="A135" s="1" t="s">
        <v>498</v>
      </c>
      <c r="B135" s="1" t="s">
        <v>499</v>
      </c>
      <c r="C135" s="1" t="s">
        <v>500</v>
      </c>
      <c r="D135" s="3" t="n">
        <f aca="false">ROUND((Data!C135-Data!E135)/Data!C135*100,2)</f>
        <v>35.26</v>
      </c>
      <c r="E135" s="1" t="n">
        <v>342.29</v>
      </c>
      <c r="F135" s="1" t="n">
        <v>402</v>
      </c>
      <c r="G135" s="1" t="n">
        <v>59.71</v>
      </c>
      <c r="H135" s="1" t="n">
        <v>17.44</v>
      </c>
      <c r="I135" s="1" t="s">
        <v>13</v>
      </c>
      <c r="J135" s="1" t="s">
        <v>501</v>
      </c>
    </row>
    <row r="136" customFormat="false" ht="13.5" hidden="false" customHeight="true" outlineLevel="0" collapsed="false">
      <c r="A136" s="1" t="s">
        <v>502</v>
      </c>
      <c r="B136" s="1" t="s">
        <v>503</v>
      </c>
      <c r="C136" s="1" t="s">
        <v>504</v>
      </c>
      <c r="D136" s="3" t="n">
        <f aca="false">ROUND((Data!C136-Data!E136)/Data!C136*100,2)</f>
        <v>63</v>
      </c>
      <c r="E136" s="1" t="n">
        <v>38.55</v>
      </c>
      <c r="F136" s="1" t="n">
        <v>45.26</v>
      </c>
      <c r="G136" s="1" t="n">
        <v>6.71</v>
      </c>
      <c r="H136" s="1" t="n">
        <v>17.41</v>
      </c>
      <c r="I136" s="1" t="s">
        <v>13</v>
      </c>
      <c r="J136" s="1" t="s">
        <v>505</v>
      </c>
    </row>
    <row r="137" customFormat="false" ht="13.5" hidden="false" customHeight="true" outlineLevel="0" collapsed="false">
      <c r="A137" s="1" t="s">
        <v>506</v>
      </c>
      <c r="B137" s="1" t="s">
        <v>507</v>
      </c>
      <c r="C137" s="1" t="s">
        <v>508</v>
      </c>
      <c r="D137" s="3" t="n">
        <f aca="false">ROUND((Data!C137-Data!E137)/Data!C137*100,2)</f>
        <v>59.39</v>
      </c>
      <c r="E137" s="1" t="n">
        <v>23.97</v>
      </c>
      <c r="F137" s="1" t="n">
        <v>28.12</v>
      </c>
      <c r="G137" s="1" t="n">
        <v>4.15</v>
      </c>
      <c r="H137" s="1" t="n">
        <v>17.31</v>
      </c>
      <c r="I137" s="1" t="s">
        <v>13</v>
      </c>
      <c r="J137" s="1" t="s">
        <v>509</v>
      </c>
    </row>
    <row r="138" customFormat="false" ht="13.5" hidden="false" customHeight="true" outlineLevel="0" collapsed="false">
      <c r="A138" s="1" t="s">
        <v>510</v>
      </c>
      <c r="B138" s="1" t="s">
        <v>511</v>
      </c>
      <c r="C138" s="1" t="s">
        <v>512</v>
      </c>
      <c r="D138" s="3" t="n">
        <f aca="false">ROUND((Data!C138-Data!E138)/Data!C138*100,2)</f>
        <v>53.95</v>
      </c>
      <c r="E138" s="1" t="n">
        <v>37.84</v>
      </c>
      <c r="F138" s="1" t="n">
        <v>44.38</v>
      </c>
      <c r="G138" s="1" t="n">
        <v>6.54</v>
      </c>
      <c r="H138" s="1" t="n">
        <v>17.28</v>
      </c>
      <c r="I138" s="1" t="s">
        <v>13</v>
      </c>
      <c r="J138" s="1" t="s">
        <v>513</v>
      </c>
    </row>
    <row r="139" customFormat="false" ht="13.5" hidden="false" customHeight="true" outlineLevel="0" collapsed="false">
      <c r="A139" s="1" t="s">
        <v>514</v>
      </c>
      <c r="B139" s="1" t="s">
        <v>515</v>
      </c>
      <c r="C139" s="1" t="s">
        <v>516</v>
      </c>
      <c r="D139" s="3" t="n">
        <f aca="false">ROUND((Data!C139-Data!E139)/Data!C139*100,2)</f>
        <v>47.61</v>
      </c>
      <c r="E139" s="1" t="n">
        <v>191</v>
      </c>
      <c r="F139" s="1" t="n">
        <v>223.91</v>
      </c>
      <c r="G139" s="1" t="n">
        <v>32.91</v>
      </c>
      <c r="H139" s="1" t="n">
        <v>17.23</v>
      </c>
      <c r="I139" s="1" t="s">
        <v>13</v>
      </c>
      <c r="J139" s="1" t="s">
        <v>517</v>
      </c>
    </row>
    <row r="140" customFormat="false" ht="13.5" hidden="false" customHeight="true" outlineLevel="0" collapsed="false">
      <c r="A140" s="1" t="s">
        <v>518</v>
      </c>
      <c r="B140" s="1" t="s">
        <v>519</v>
      </c>
      <c r="C140" s="1" t="s">
        <v>520</v>
      </c>
      <c r="D140" s="3" t="n">
        <f aca="false">ROUND((Data!C140-Data!E140)/Data!C140*100,2)</f>
        <v>56.77</v>
      </c>
      <c r="E140" s="1" t="n">
        <v>48.7</v>
      </c>
      <c r="F140" s="1" t="n">
        <v>57.03</v>
      </c>
      <c r="G140" s="1" t="n">
        <v>8.33</v>
      </c>
      <c r="H140" s="1" t="n">
        <v>17.1</v>
      </c>
      <c r="I140" s="1" t="s">
        <v>13</v>
      </c>
      <c r="J140" s="1" t="s">
        <v>521</v>
      </c>
    </row>
    <row r="141" customFormat="false" ht="13.5" hidden="false" customHeight="true" outlineLevel="0" collapsed="false">
      <c r="A141" s="1" t="s">
        <v>93</v>
      </c>
      <c r="B141" s="1" t="s">
        <v>522</v>
      </c>
      <c r="C141" s="1" t="s">
        <v>523</v>
      </c>
      <c r="D141" s="3" t="n">
        <f aca="false">ROUND((Data!C141-Data!E141)/Data!C141*100,2)</f>
        <v>56.75</v>
      </c>
      <c r="E141" s="1" t="n">
        <v>107.49</v>
      </c>
      <c r="F141" s="1" t="n">
        <v>125.87</v>
      </c>
      <c r="G141" s="1" t="n">
        <v>18.38</v>
      </c>
      <c r="H141" s="1" t="n">
        <v>17.1</v>
      </c>
      <c r="I141" s="1" t="s">
        <v>13</v>
      </c>
      <c r="J141" s="1" t="s">
        <v>524</v>
      </c>
    </row>
    <row r="142" customFormat="false" ht="13.5" hidden="false" customHeight="true" outlineLevel="0" collapsed="false">
      <c r="A142" s="1" t="s">
        <v>244</v>
      </c>
      <c r="B142" s="1" t="s">
        <v>525</v>
      </c>
      <c r="C142" s="1" t="s">
        <v>526</v>
      </c>
      <c r="D142" s="3" t="n">
        <f aca="false">ROUND((Data!C142-Data!E142)/Data!C142*100,2)</f>
        <v>50.72</v>
      </c>
      <c r="E142" s="1" t="n">
        <v>25.97</v>
      </c>
      <c r="F142" s="1" t="n">
        <v>30.39</v>
      </c>
      <c r="G142" s="1" t="n">
        <v>4.42</v>
      </c>
      <c r="H142" s="1" t="n">
        <v>17.02</v>
      </c>
      <c r="I142" s="1" t="s">
        <v>13</v>
      </c>
      <c r="J142" s="1" t="s">
        <v>527</v>
      </c>
    </row>
    <row r="143" customFormat="false" ht="13.5" hidden="false" customHeight="true" outlineLevel="0" collapsed="false">
      <c r="A143" s="1" t="s">
        <v>528</v>
      </c>
      <c r="B143" s="1" t="s">
        <v>529</v>
      </c>
      <c r="C143" s="1" t="s">
        <v>530</v>
      </c>
      <c r="D143" s="3" t="n">
        <f aca="false">ROUND((Data!C143-Data!E143)/Data!C143*100,2)</f>
        <v>56.22</v>
      </c>
      <c r="E143" s="1" t="n">
        <v>31.47</v>
      </c>
      <c r="F143" s="1" t="n">
        <v>36.81</v>
      </c>
      <c r="G143" s="1" t="n">
        <v>5.34</v>
      </c>
      <c r="H143" s="1" t="n">
        <v>16.97</v>
      </c>
      <c r="I143" s="1" t="s">
        <v>13</v>
      </c>
      <c r="J143" s="1" t="s">
        <v>531</v>
      </c>
    </row>
    <row r="144" customFormat="false" ht="13.5" hidden="false" customHeight="true" outlineLevel="0" collapsed="false">
      <c r="A144" s="1" t="s">
        <v>532</v>
      </c>
      <c r="B144" s="1" t="s">
        <v>533</v>
      </c>
      <c r="C144" s="1" t="s">
        <v>534</v>
      </c>
      <c r="D144" s="3" t="n">
        <f aca="false">ROUND((Data!C144-Data!E144)/Data!C144*100,2)</f>
        <v>55.66</v>
      </c>
      <c r="E144" s="1" t="n">
        <v>60.3</v>
      </c>
      <c r="F144" s="1" t="n">
        <v>70.51</v>
      </c>
      <c r="G144" s="1" t="n">
        <v>10.21</v>
      </c>
      <c r="H144" s="1" t="n">
        <v>16.93</v>
      </c>
      <c r="I144" s="1" t="s">
        <v>13</v>
      </c>
      <c r="J144" s="1" t="s">
        <v>535</v>
      </c>
    </row>
    <row r="145" customFormat="false" ht="13.5" hidden="false" customHeight="true" outlineLevel="0" collapsed="false">
      <c r="A145" s="1" t="s">
        <v>358</v>
      </c>
      <c r="B145" s="1" t="s">
        <v>536</v>
      </c>
      <c r="C145" s="1" t="s">
        <v>537</v>
      </c>
      <c r="D145" s="3" t="n">
        <f aca="false">ROUND((Data!C145-Data!E145)/Data!C145*100,2)</f>
        <v>49.06</v>
      </c>
      <c r="E145" s="1" t="n">
        <v>106.45</v>
      </c>
      <c r="F145" s="1" t="n">
        <v>124.4</v>
      </c>
      <c r="G145" s="1" t="n">
        <v>17.95</v>
      </c>
      <c r="H145" s="1" t="n">
        <v>16.86</v>
      </c>
      <c r="I145" s="1" t="s">
        <v>13</v>
      </c>
      <c r="J145" s="1" t="s">
        <v>538</v>
      </c>
    </row>
    <row r="146" customFormat="false" ht="13.5" hidden="false" customHeight="true" outlineLevel="0" collapsed="false">
      <c r="A146" s="1" t="s">
        <v>539</v>
      </c>
      <c r="B146" s="1" t="s">
        <v>540</v>
      </c>
      <c r="C146" s="1" t="s">
        <v>541</v>
      </c>
      <c r="D146" s="3" t="n">
        <f aca="false">ROUND((Data!C146-Data!E146)/Data!C146*100,2)</f>
        <v>63.48</v>
      </c>
      <c r="E146" s="1" t="n">
        <v>23.71</v>
      </c>
      <c r="F146" s="1" t="n">
        <v>27.68</v>
      </c>
      <c r="G146" s="1" t="n">
        <v>3.97</v>
      </c>
      <c r="H146" s="1" t="n">
        <v>16.74</v>
      </c>
      <c r="I146" s="1" t="s">
        <v>13</v>
      </c>
      <c r="J146" s="1" t="s">
        <v>542</v>
      </c>
    </row>
    <row r="147" customFormat="false" ht="13.5" hidden="false" customHeight="true" outlineLevel="0" collapsed="false">
      <c r="A147" s="1" t="s">
        <v>543</v>
      </c>
      <c r="B147" s="1" t="s">
        <v>544</v>
      </c>
      <c r="C147" s="1" t="s">
        <v>545</v>
      </c>
      <c r="D147" s="3" t="n">
        <f aca="false">ROUND((Data!C147-Data!E147)/Data!C147*100,2)</f>
        <v>41.59</v>
      </c>
      <c r="E147" s="1" t="n">
        <v>95.73</v>
      </c>
      <c r="F147" s="1" t="n">
        <v>111.68</v>
      </c>
      <c r="G147" s="1" t="n">
        <v>15.95</v>
      </c>
      <c r="H147" s="1" t="n">
        <v>16.66</v>
      </c>
      <c r="I147" s="1" t="s">
        <v>13</v>
      </c>
      <c r="J147" s="1" t="s">
        <v>546</v>
      </c>
    </row>
    <row r="148" customFormat="false" ht="13.5" hidden="false" customHeight="true" outlineLevel="0" collapsed="false">
      <c r="A148" s="1" t="s">
        <v>547</v>
      </c>
      <c r="B148" s="1" t="s">
        <v>548</v>
      </c>
      <c r="C148" s="1" t="s">
        <v>549</v>
      </c>
      <c r="D148" s="3" t="n">
        <f aca="false">ROUND((Data!C148-Data!E148)/Data!C148*100,2)</f>
        <v>48.9</v>
      </c>
      <c r="E148" s="1" t="n">
        <v>128.38</v>
      </c>
      <c r="F148" s="1" t="n">
        <v>149.71</v>
      </c>
      <c r="G148" s="1" t="n">
        <v>21.33</v>
      </c>
      <c r="H148" s="1" t="n">
        <v>16.61</v>
      </c>
      <c r="I148" s="1" t="s">
        <v>13</v>
      </c>
      <c r="J148" s="1" t="s">
        <v>550</v>
      </c>
    </row>
    <row r="149" customFormat="false" ht="13.5" hidden="false" customHeight="true" outlineLevel="0" collapsed="false">
      <c r="A149" s="1" t="s">
        <v>551</v>
      </c>
      <c r="B149" s="1" t="s">
        <v>552</v>
      </c>
      <c r="C149" s="1" t="s">
        <v>553</v>
      </c>
      <c r="D149" s="3" t="n">
        <f aca="false">ROUND((Data!C149-Data!E149)/Data!C149*100,2)</f>
        <v>45.91</v>
      </c>
      <c r="E149" s="1" t="n">
        <v>60.43</v>
      </c>
      <c r="F149" s="1" t="n">
        <v>70.38</v>
      </c>
      <c r="G149" s="1" t="n">
        <v>9.95</v>
      </c>
      <c r="H149" s="1" t="n">
        <v>16.47</v>
      </c>
      <c r="I149" s="1" t="s">
        <v>13</v>
      </c>
      <c r="J149" s="1" t="s">
        <v>554</v>
      </c>
    </row>
    <row r="150" customFormat="false" ht="13.5" hidden="false" customHeight="true" outlineLevel="0" collapsed="false">
      <c r="A150" s="1" t="s">
        <v>555</v>
      </c>
      <c r="B150" s="1" t="s">
        <v>556</v>
      </c>
      <c r="C150" s="1" t="s">
        <v>557</v>
      </c>
      <c r="D150" s="3" t="n">
        <f aca="false">ROUND((Data!C150-Data!E150)/Data!C150*100,2)</f>
        <v>55.3</v>
      </c>
      <c r="E150" s="1" t="n">
        <v>59.18</v>
      </c>
      <c r="F150" s="1" t="n">
        <v>68.86</v>
      </c>
      <c r="G150" s="1" t="n">
        <v>9.68</v>
      </c>
      <c r="H150" s="1" t="n">
        <v>16.36</v>
      </c>
      <c r="I150" s="1" t="s">
        <v>13</v>
      </c>
      <c r="J150" s="1" t="s">
        <v>558</v>
      </c>
    </row>
    <row r="151" customFormat="false" ht="13.5" hidden="false" customHeight="true" outlineLevel="0" collapsed="false">
      <c r="A151" s="1" t="s">
        <v>203</v>
      </c>
      <c r="B151" s="1" t="s">
        <v>559</v>
      </c>
      <c r="C151" s="1" t="s">
        <v>560</v>
      </c>
      <c r="D151" s="3" t="n">
        <f aca="false">ROUND((Data!C151-Data!E151)/Data!C151*100,2)</f>
        <v>53.95</v>
      </c>
      <c r="E151" s="1" t="n">
        <v>42.8</v>
      </c>
      <c r="F151" s="1" t="n">
        <v>49.79</v>
      </c>
      <c r="G151" s="1" t="n">
        <v>6.99</v>
      </c>
      <c r="H151" s="1" t="n">
        <v>16.33</v>
      </c>
      <c r="I151" s="1" t="s">
        <v>13</v>
      </c>
      <c r="J151" s="1" t="s">
        <v>561</v>
      </c>
    </row>
    <row r="152" customFormat="false" ht="13.5" hidden="false" customHeight="true" outlineLevel="0" collapsed="false">
      <c r="A152" s="1" t="s">
        <v>562</v>
      </c>
      <c r="B152" s="1" t="s">
        <v>563</v>
      </c>
      <c r="C152" s="1" t="s">
        <v>564</v>
      </c>
      <c r="D152" s="3" t="n">
        <f aca="false">ROUND((Data!C152-Data!E152)/Data!C152*100,2)</f>
        <v>58.3</v>
      </c>
      <c r="E152" s="1" t="n">
        <v>89.1</v>
      </c>
      <c r="F152" s="1" t="n">
        <v>103.6</v>
      </c>
      <c r="G152" s="1" t="n">
        <v>14.5</v>
      </c>
      <c r="H152" s="1" t="n">
        <v>16.27</v>
      </c>
      <c r="I152" s="1" t="s">
        <v>13</v>
      </c>
      <c r="J152" s="1" t="s">
        <v>565</v>
      </c>
    </row>
    <row r="153" customFormat="false" ht="13.5" hidden="false" customHeight="true" outlineLevel="0" collapsed="false">
      <c r="A153" s="1" t="s">
        <v>566</v>
      </c>
      <c r="B153" s="1" t="s">
        <v>567</v>
      </c>
      <c r="C153" s="1" t="s">
        <v>568</v>
      </c>
      <c r="D153" s="3" t="n">
        <f aca="false">ROUND((Data!C153-Data!E153)/Data!C153*100,2)</f>
        <v>21.81</v>
      </c>
      <c r="E153" s="1" t="n">
        <v>9.17</v>
      </c>
      <c r="F153" s="1" t="n">
        <v>10.66</v>
      </c>
      <c r="G153" s="1" t="n">
        <v>1.49</v>
      </c>
      <c r="H153" s="1" t="n">
        <v>16.25</v>
      </c>
      <c r="I153" s="1" t="s">
        <v>13</v>
      </c>
      <c r="J153" s="1" t="s">
        <v>569</v>
      </c>
    </row>
    <row r="154" customFormat="false" ht="13.5" hidden="false" customHeight="true" outlineLevel="0" collapsed="false">
      <c r="A154" s="1" t="s">
        <v>570</v>
      </c>
      <c r="B154" s="1" t="s">
        <v>571</v>
      </c>
      <c r="C154" s="1" t="s">
        <v>572</v>
      </c>
      <c r="D154" s="3" t="n">
        <f aca="false">ROUND((Data!C154-Data!E154)/Data!C154*100,2)</f>
        <v>55.67</v>
      </c>
      <c r="E154" s="1" t="n">
        <v>31.44</v>
      </c>
      <c r="F154" s="1" t="n">
        <v>36.54</v>
      </c>
      <c r="G154" s="1" t="n">
        <v>5.1</v>
      </c>
      <c r="H154" s="1" t="n">
        <v>16.22</v>
      </c>
      <c r="I154" s="1" t="s">
        <v>13</v>
      </c>
      <c r="J154" s="1" t="s">
        <v>573</v>
      </c>
    </row>
    <row r="155" customFormat="false" ht="13.5" hidden="false" customHeight="true" outlineLevel="0" collapsed="false">
      <c r="A155" s="1" t="s">
        <v>432</v>
      </c>
      <c r="B155" s="1" t="s">
        <v>574</v>
      </c>
      <c r="C155" s="1" t="s">
        <v>575</v>
      </c>
      <c r="D155" s="3" t="n">
        <f aca="false">ROUND((Data!C155-Data!E155)/Data!C155*100,2)</f>
        <v>44.39</v>
      </c>
      <c r="E155" s="1" t="n">
        <v>15.47</v>
      </c>
      <c r="F155" s="1" t="n">
        <v>17.98</v>
      </c>
      <c r="G155" s="1" t="n">
        <v>2.51</v>
      </c>
      <c r="H155" s="1" t="n">
        <v>16.22</v>
      </c>
      <c r="I155" s="1" t="s">
        <v>13</v>
      </c>
      <c r="J155" s="1" t="s">
        <v>576</v>
      </c>
    </row>
    <row r="156" customFormat="false" ht="13.5" hidden="false" customHeight="true" outlineLevel="0" collapsed="false">
      <c r="A156" s="1" t="s">
        <v>260</v>
      </c>
      <c r="B156" s="1" t="s">
        <v>577</v>
      </c>
      <c r="C156" s="1" t="s">
        <v>578</v>
      </c>
      <c r="D156" s="3" t="n">
        <f aca="false">ROUND((Data!C156-Data!E156)/Data!C156*100,2)</f>
        <v>50.06</v>
      </c>
      <c r="E156" s="1" t="n">
        <v>25.04</v>
      </c>
      <c r="F156" s="1" t="n">
        <v>29.1</v>
      </c>
      <c r="G156" s="1" t="n">
        <v>4.06</v>
      </c>
      <c r="H156" s="1" t="n">
        <v>16.21</v>
      </c>
      <c r="I156" s="1" t="s">
        <v>13</v>
      </c>
      <c r="J156" s="1" t="s">
        <v>579</v>
      </c>
    </row>
    <row r="157" customFormat="false" ht="13.5" hidden="false" customHeight="true" outlineLevel="0" collapsed="false">
      <c r="A157" s="1" t="s">
        <v>551</v>
      </c>
      <c r="B157" s="1" t="s">
        <v>580</v>
      </c>
      <c r="C157" s="1" t="s">
        <v>581</v>
      </c>
      <c r="D157" s="3" t="n">
        <f aca="false">ROUND((Data!C157-Data!E157)/Data!C157*100,2)</f>
        <v>50.12</v>
      </c>
      <c r="E157" s="1" t="n">
        <v>27.6</v>
      </c>
      <c r="F157" s="1" t="n">
        <v>32.05</v>
      </c>
      <c r="G157" s="1" t="n">
        <v>4.45</v>
      </c>
      <c r="H157" s="1" t="n">
        <v>16.12</v>
      </c>
      <c r="I157" s="1" t="s">
        <v>13</v>
      </c>
      <c r="J157" s="1" t="s">
        <v>582</v>
      </c>
    </row>
    <row r="158" customFormat="false" ht="13.5" hidden="false" customHeight="true" outlineLevel="0" collapsed="false">
      <c r="A158" s="1" t="s">
        <v>583</v>
      </c>
      <c r="B158" s="1" t="s">
        <v>584</v>
      </c>
      <c r="C158" s="1" t="s">
        <v>585</v>
      </c>
      <c r="D158" s="3" t="n">
        <f aca="false">ROUND((Data!C158-Data!E158)/Data!C158*100,2)</f>
        <v>56.97</v>
      </c>
      <c r="E158" s="1" t="n">
        <v>22.17</v>
      </c>
      <c r="F158" s="1" t="n">
        <v>25.68</v>
      </c>
      <c r="G158" s="1" t="n">
        <v>3.51</v>
      </c>
      <c r="H158" s="1" t="n">
        <v>15.83</v>
      </c>
      <c r="I158" s="1" t="s">
        <v>13</v>
      </c>
      <c r="J158" s="1" t="s">
        <v>586</v>
      </c>
    </row>
    <row r="159" customFormat="false" ht="13.5" hidden="false" customHeight="true" outlineLevel="0" collapsed="false">
      <c r="A159" s="1" t="s">
        <v>587</v>
      </c>
      <c r="B159" s="1" t="s">
        <v>588</v>
      </c>
      <c r="C159" s="1" t="s">
        <v>589</v>
      </c>
      <c r="D159" s="3" t="n">
        <f aca="false">ROUND((Data!C159-Data!E159)/Data!C159*100,2)</f>
        <v>53.48</v>
      </c>
      <c r="E159" s="1" t="n">
        <v>9.26</v>
      </c>
      <c r="F159" s="1" t="n">
        <v>10.7</v>
      </c>
      <c r="G159" s="1" t="n">
        <v>1.44</v>
      </c>
      <c r="H159" s="1" t="n">
        <v>15.55</v>
      </c>
      <c r="I159" s="1" t="s">
        <v>13</v>
      </c>
      <c r="J159" s="1" t="s">
        <v>590</v>
      </c>
    </row>
    <row r="160" customFormat="false" ht="13.5" hidden="false" customHeight="true" outlineLevel="0" collapsed="false">
      <c r="A160" s="1" t="s">
        <v>591</v>
      </c>
      <c r="B160" s="1" t="s">
        <v>592</v>
      </c>
      <c r="C160" s="1" t="s">
        <v>593</v>
      </c>
      <c r="D160" s="3" t="n">
        <f aca="false">ROUND((Data!C160-Data!E160)/Data!C160*100,2)</f>
        <v>50.38</v>
      </c>
      <c r="E160" s="1" t="n">
        <v>83.92</v>
      </c>
      <c r="F160" s="1" t="n">
        <v>96.93</v>
      </c>
      <c r="G160" s="1" t="n">
        <v>13.01</v>
      </c>
      <c r="H160" s="1" t="n">
        <v>15.5</v>
      </c>
      <c r="I160" s="1" t="s">
        <v>13</v>
      </c>
      <c r="J160" s="1" t="s">
        <v>594</v>
      </c>
    </row>
    <row r="161" customFormat="false" ht="13.5" hidden="false" customHeight="true" outlineLevel="0" collapsed="false">
      <c r="A161" s="1" t="s">
        <v>555</v>
      </c>
      <c r="B161" s="1" t="s">
        <v>595</v>
      </c>
      <c r="C161" s="1" t="s">
        <v>596</v>
      </c>
      <c r="D161" s="3" t="n">
        <f aca="false">ROUND((Data!C161-Data!E161)/Data!C161*100,2)</f>
        <v>52.65</v>
      </c>
      <c r="E161" s="1" t="n">
        <v>45.7</v>
      </c>
      <c r="F161" s="1" t="n">
        <v>52.7</v>
      </c>
      <c r="G161" s="1" t="n">
        <v>7</v>
      </c>
      <c r="H161" s="1" t="n">
        <v>15.32</v>
      </c>
      <c r="I161" s="1" t="s">
        <v>13</v>
      </c>
      <c r="J161" s="1" t="s">
        <v>597</v>
      </c>
    </row>
    <row r="162" customFormat="false" ht="13.5" hidden="false" customHeight="true" outlineLevel="0" collapsed="false">
      <c r="A162" s="1" t="s">
        <v>598</v>
      </c>
      <c r="B162" s="1" t="s">
        <v>599</v>
      </c>
      <c r="C162" s="1" t="s">
        <v>600</v>
      </c>
      <c r="D162" s="3" t="n">
        <f aca="false">ROUND((Data!C162-Data!E162)/Data!C162*100,2)</f>
        <v>51.86</v>
      </c>
      <c r="E162" s="1" t="n">
        <v>102.31</v>
      </c>
      <c r="F162" s="1" t="n">
        <v>117.97</v>
      </c>
      <c r="G162" s="1" t="n">
        <v>15.66</v>
      </c>
      <c r="H162" s="1" t="n">
        <v>15.31</v>
      </c>
      <c r="I162" s="1" t="s">
        <v>13</v>
      </c>
      <c r="J162" s="1" t="s">
        <v>601</v>
      </c>
    </row>
    <row r="163" customFormat="false" ht="13.5" hidden="false" customHeight="true" outlineLevel="0" collapsed="false">
      <c r="A163" s="1" t="s">
        <v>436</v>
      </c>
      <c r="B163" s="1" t="s">
        <v>602</v>
      </c>
      <c r="C163" s="1" t="s">
        <v>603</v>
      </c>
      <c r="D163" s="3" t="n">
        <f aca="false">ROUND((Data!C163-Data!E163)/Data!C163*100,2)</f>
        <v>49.75</v>
      </c>
      <c r="E163" s="1" t="n">
        <v>108.87</v>
      </c>
      <c r="F163" s="1" t="n">
        <v>125.48</v>
      </c>
      <c r="G163" s="1" t="n">
        <v>16.61</v>
      </c>
      <c r="H163" s="1" t="n">
        <v>15.26</v>
      </c>
      <c r="I163" s="1" t="s">
        <v>13</v>
      </c>
      <c r="J163" s="1" t="s">
        <v>604</v>
      </c>
    </row>
    <row r="164" customFormat="false" ht="13.5" hidden="false" customHeight="true" outlineLevel="0" collapsed="false">
      <c r="A164" s="1" t="s">
        <v>93</v>
      </c>
      <c r="B164" s="1" t="s">
        <v>605</v>
      </c>
      <c r="C164" s="1" t="s">
        <v>606</v>
      </c>
      <c r="D164" s="3" t="n">
        <f aca="false">ROUND((Data!C164-Data!E164)/Data!C164*100,2)</f>
        <v>51.91</v>
      </c>
      <c r="E164" s="1" t="n">
        <v>28.26</v>
      </c>
      <c r="F164" s="1" t="n">
        <v>32.55</v>
      </c>
      <c r="G164" s="1" t="n">
        <v>4.29</v>
      </c>
      <c r="H164" s="1" t="n">
        <v>15.18</v>
      </c>
      <c r="I164" s="1" t="s">
        <v>13</v>
      </c>
      <c r="J164" s="1" t="s">
        <v>607</v>
      </c>
    </row>
    <row r="165" customFormat="false" ht="13.5" hidden="false" customHeight="true" outlineLevel="0" collapsed="false">
      <c r="A165" s="1" t="s">
        <v>608</v>
      </c>
      <c r="B165" s="1" t="s">
        <v>609</v>
      </c>
      <c r="C165" s="1" t="s">
        <v>610</v>
      </c>
      <c r="D165" s="3" t="n">
        <f aca="false">ROUND((Data!C165-Data!E165)/Data!C165*100,2)</f>
        <v>52.13</v>
      </c>
      <c r="E165" s="1" t="n">
        <v>58.71</v>
      </c>
      <c r="F165" s="1" t="n">
        <v>67.58</v>
      </c>
      <c r="G165" s="1" t="n">
        <v>8.87</v>
      </c>
      <c r="H165" s="1" t="n">
        <v>15.11</v>
      </c>
      <c r="I165" s="1" t="s">
        <v>13</v>
      </c>
      <c r="J165" s="1" t="s">
        <v>611</v>
      </c>
    </row>
    <row r="166" customFormat="false" ht="13.5" hidden="false" customHeight="true" outlineLevel="0" collapsed="false">
      <c r="A166" s="1" t="s">
        <v>402</v>
      </c>
      <c r="B166" s="1" t="s">
        <v>612</v>
      </c>
      <c r="C166" s="1" t="s">
        <v>613</v>
      </c>
      <c r="D166" s="3" t="n">
        <f aca="false">ROUND((Data!C166-Data!E166)/Data!C166*100,2)</f>
        <v>54.62</v>
      </c>
      <c r="E166" s="1" t="n">
        <v>89.06</v>
      </c>
      <c r="F166" s="1" t="n">
        <v>102.5</v>
      </c>
      <c r="G166" s="1" t="n">
        <v>13.44</v>
      </c>
      <c r="H166" s="1" t="n">
        <v>15.09</v>
      </c>
      <c r="I166" s="1" t="s">
        <v>13</v>
      </c>
      <c r="J166" s="1" t="s">
        <v>614</v>
      </c>
    </row>
    <row r="167" customFormat="false" ht="13.5" hidden="false" customHeight="true" outlineLevel="0" collapsed="false">
      <c r="A167" s="1" t="s">
        <v>615</v>
      </c>
      <c r="B167" s="1" t="s">
        <v>616</v>
      </c>
      <c r="C167" s="1" t="s">
        <v>617</v>
      </c>
      <c r="D167" s="3" t="n">
        <f aca="false">ROUND((Data!C167-Data!E167)/Data!C167*100,2)</f>
        <v>50.71</v>
      </c>
      <c r="E167" s="1" t="n">
        <v>29.04</v>
      </c>
      <c r="F167" s="1" t="n">
        <v>33.42</v>
      </c>
      <c r="G167" s="1" t="n">
        <v>4.38</v>
      </c>
      <c r="H167" s="1" t="n">
        <v>15.08</v>
      </c>
      <c r="I167" s="1" t="s">
        <v>13</v>
      </c>
      <c r="J167" s="1" t="s">
        <v>618</v>
      </c>
    </row>
    <row r="168" customFormat="false" ht="13.5" hidden="false" customHeight="true" outlineLevel="0" collapsed="false">
      <c r="A168" s="1" t="s">
        <v>31</v>
      </c>
      <c r="B168" s="1" t="s">
        <v>619</v>
      </c>
      <c r="C168" s="1" t="s">
        <v>620</v>
      </c>
      <c r="D168" s="3" t="n">
        <f aca="false">ROUND((Data!C168-Data!E168)/Data!C168*100,2)</f>
        <v>54.65</v>
      </c>
      <c r="E168" s="1" t="n">
        <v>25.28</v>
      </c>
      <c r="F168" s="1" t="n">
        <v>29.01</v>
      </c>
      <c r="G168" s="1" t="n">
        <v>3.73</v>
      </c>
      <c r="H168" s="1" t="n">
        <v>14.75</v>
      </c>
      <c r="I168" s="1" t="s">
        <v>13</v>
      </c>
      <c r="J168" s="1" t="s">
        <v>621</v>
      </c>
    </row>
    <row r="169" customFormat="false" ht="13.5" hidden="false" customHeight="true" outlineLevel="0" collapsed="false">
      <c r="A169" s="1" t="s">
        <v>15</v>
      </c>
      <c r="B169" s="1" t="s">
        <v>622</v>
      </c>
      <c r="C169" s="1" t="s">
        <v>623</v>
      </c>
      <c r="D169" s="3" t="n">
        <f aca="false">ROUND((Data!C169-Data!E169)/Data!C169*100,2)</f>
        <v>54.09</v>
      </c>
      <c r="E169" s="1" t="n">
        <v>11.76</v>
      </c>
      <c r="F169" s="1" t="n">
        <v>13.48</v>
      </c>
      <c r="G169" s="1" t="n">
        <v>1.72</v>
      </c>
      <c r="H169" s="1" t="n">
        <v>14.63</v>
      </c>
      <c r="I169" s="1" t="s">
        <v>13</v>
      </c>
      <c r="J169" s="1" t="s">
        <v>624</v>
      </c>
    </row>
    <row r="170" customFormat="false" ht="13.5" hidden="false" customHeight="true" outlineLevel="0" collapsed="false">
      <c r="A170" s="1" t="s">
        <v>625</v>
      </c>
      <c r="B170" s="1" t="s">
        <v>626</v>
      </c>
      <c r="C170" s="1" t="s">
        <v>627</v>
      </c>
      <c r="D170" s="3" t="n">
        <f aca="false">ROUND((Data!C170-Data!E170)/Data!C170*100,2)</f>
        <v>48.29</v>
      </c>
      <c r="E170" s="1" t="n">
        <v>303.65</v>
      </c>
      <c r="F170" s="1" t="n">
        <v>347.76</v>
      </c>
      <c r="G170" s="1" t="n">
        <v>44.11</v>
      </c>
      <c r="H170" s="1" t="n">
        <v>14.53</v>
      </c>
      <c r="I170" s="1" t="s">
        <v>13</v>
      </c>
      <c r="J170" s="1" t="s">
        <v>628</v>
      </c>
    </row>
    <row r="171" customFormat="false" ht="13.5" hidden="false" customHeight="true" outlineLevel="0" collapsed="false">
      <c r="A171" s="1" t="s">
        <v>629</v>
      </c>
      <c r="B171" s="1" t="s">
        <v>630</v>
      </c>
      <c r="C171" s="1" t="s">
        <v>631</v>
      </c>
      <c r="D171" s="3" t="n">
        <f aca="false">ROUND((Data!C171-Data!E171)/Data!C171*100,2)</f>
        <v>55.68</v>
      </c>
      <c r="E171" s="1" t="n">
        <v>47.55</v>
      </c>
      <c r="F171" s="1" t="n">
        <v>54.45</v>
      </c>
      <c r="G171" s="1" t="n">
        <v>6.9</v>
      </c>
      <c r="H171" s="1" t="n">
        <v>14.51</v>
      </c>
      <c r="I171" s="1" t="s">
        <v>13</v>
      </c>
      <c r="J171" s="1" t="s">
        <v>632</v>
      </c>
    </row>
    <row r="172" customFormat="false" ht="13.5" hidden="false" customHeight="true" outlineLevel="0" collapsed="false">
      <c r="A172" s="1" t="s">
        <v>633</v>
      </c>
      <c r="B172" s="1" t="s">
        <v>634</v>
      </c>
      <c r="C172" s="1" t="s">
        <v>635</v>
      </c>
      <c r="D172" s="3" t="n">
        <f aca="false">ROUND((Data!C172-Data!E172)/Data!C172*100,2)</f>
        <v>41.54</v>
      </c>
      <c r="E172" s="1" t="n">
        <v>34.6</v>
      </c>
      <c r="F172" s="1" t="n">
        <v>39.61</v>
      </c>
      <c r="G172" s="1" t="n">
        <v>5.01</v>
      </c>
      <c r="H172" s="1" t="n">
        <v>14.48</v>
      </c>
      <c r="I172" s="1" t="s">
        <v>13</v>
      </c>
      <c r="J172" s="1" t="s">
        <v>636</v>
      </c>
    </row>
    <row r="173" customFormat="false" ht="13.5" hidden="false" customHeight="true" outlineLevel="0" collapsed="false">
      <c r="A173" s="1" t="s">
        <v>551</v>
      </c>
      <c r="B173" s="1" t="s">
        <v>637</v>
      </c>
      <c r="C173" s="1" t="s">
        <v>638</v>
      </c>
      <c r="D173" s="3" t="n">
        <f aca="false">ROUND((Data!C173-Data!E173)/Data!C173*100,2)</f>
        <v>52.5</v>
      </c>
      <c r="E173" s="1" t="n">
        <v>34.94</v>
      </c>
      <c r="F173" s="1" t="n">
        <v>39.99</v>
      </c>
      <c r="G173" s="1" t="n">
        <v>5.05</v>
      </c>
      <c r="H173" s="1" t="n">
        <v>14.45</v>
      </c>
      <c r="I173" s="1" t="s">
        <v>13</v>
      </c>
      <c r="J173" s="1" t="s">
        <v>639</v>
      </c>
    </row>
    <row r="174" customFormat="false" ht="13.5" hidden="false" customHeight="true" outlineLevel="0" collapsed="false">
      <c r="A174" s="1" t="s">
        <v>555</v>
      </c>
      <c r="B174" s="1" t="s">
        <v>640</v>
      </c>
      <c r="C174" s="1" t="s">
        <v>641</v>
      </c>
      <c r="D174" s="3" t="n">
        <f aca="false">ROUND((Data!C174-Data!E174)/Data!C174*100,2)</f>
        <v>56.83</v>
      </c>
      <c r="E174" s="1" t="n">
        <v>38.75</v>
      </c>
      <c r="F174" s="1" t="n">
        <v>44.33</v>
      </c>
      <c r="G174" s="1" t="n">
        <v>5.58</v>
      </c>
      <c r="H174" s="1" t="n">
        <v>14.4</v>
      </c>
      <c r="I174" s="1" t="s">
        <v>13</v>
      </c>
      <c r="J174" s="1" t="s">
        <v>642</v>
      </c>
    </row>
    <row r="175" customFormat="false" ht="13.5" hidden="false" customHeight="true" outlineLevel="0" collapsed="false">
      <c r="A175" s="1" t="s">
        <v>643</v>
      </c>
      <c r="B175" s="1" t="s">
        <v>644</v>
      </c>
      <c r="C175" s="1" t="s">
        <v>645</v>
      </c>
      <c r="D175" s="3" t="n">
        <f aca="false">ROUND((Data!C175-Data!E175)/Data!C175*100,2)</f>
        <v>57.74</v>
      </c>
      <c r="E175" s="1" t="n">
        <v>136.26</v>
      </c>
      <c r="F175" s="1" t="n">
        <v>155.87</v>
      </c>
      <c r="G175" s="1" t="n">
        <v>19.61</v>
      </c>
      <c r="H175" s="1" t="n">
        <v>14.39</v>
      </c>
      <c r="I175" s="1" t="s">
        <v>13</v>
      </c>
      <c r="J175" s="1" t="s">
        <v>646</v>
      </c>
    </row>
    <row r="176" customFormat="false" ht="13.5" hidden="false" customHeight="true" outlineLevel="0" collapsed="false">
      <c r="A176" s="1" t="s">
        <v>647</v>
      </c>
      <c r="B176" s="1" t="s">
        <v>648</v>
      </c>
      <c r="C176" s="1" t="s">
        <v>649</v>
      </c>
      <c r="D176" s="3" t="n">
        <f aca="false">ROUND((Data!C176-Data!E176)/Data!C176*100,2)</f>
        <v>55.34</v>
      </c>
      <c r="E176" s="1" t="n">
        <v>112.63</v>
      </c>
      <c r="F176" s="1" t="n">
        <v>128.72</v>
      </c>
      <c r="G176" s="1" t="n">
        <v>16.09</v>
      </c>
      <c r="H176" s="1" t="n">
        <v>14.29</v>
      </c>
      <c r="I176" s="1" t="s">
        <v>13</v>
      </c>
      <c r="J176" s="1" t="s">
        <v>650</v>
      </c>
    </row>
    <row r="177" customFormat="false" ht="13.5" hidden="false" customHeight="true" outlineLevel="0" collapsed="false">
      <c r="A177" s="1" t="s">
        <v>651</v>
      </c>
      <c r="B177" s="1" t="s">
        <v>652</v>
      </c>
      <c r="C177" s="1" t="s">
        <v>653</v>
      </c>
      <c r="D177" s="3" t="n">
        <f aca="false">ROUND((Data!C177-Data!E177)/Data!C177*100,2)</f>
        <v>60.48</v>
      </c>
      <c r="E177" s="1" t="n">
        <v>27.12</v>
      </c>
      <c r="F177" s="1" t="n">
        <v>30.99</v>
      </c>
      <c r="G177" s="1" t="n">
        <v>3.87</v>
      </c>
      <c r="H177" s="1" t="n">
        <v>14.27</v>
      </c>
      <c r="I177" s="1" t="s">
        <v>13</v>
      </c>
      <c r="J177" s="1" t="s">
        <v>654</v>
      </c>
    </row>
    <row r="178" customFormat="false" ht="13.5" hidden="false" customHeight="true" outlineLevel="0" collapsed="false">
      <c r="A178" s="1" t="s">
        <v>655</v>
      </c>
      <c r="B178" s="1" t="s">
        <v>656</v>
      </c>
      <c r="C178" s="1" t="s">
        <v>657</v>
      </c>
      <c r="D178" s="3" t="n">
        <f aca="false">ROUND((Data!C178-Data!E178)/Data!C178*100,2)</f>
        <v>57.68</v>
      </c>
      <c r="E178" s="1" t="n">
        <v>62.04</v>
      </c>
      <c r="F178" s="1" t="n">
        <v>70.88</v>
      </c>
      <c r="G178" s="1" t="n">
        <v>8.84</v>
      </c>
      <c r="H178" s="1" t="n">
        <v>14.25</v>
      </c>
      <c r="I178" s="1" t="s">
        <v>13</v>
      </c>
      <c r="J178" s="1" t="s">
        <v>658</v>
      </c>
    </row>
    <row r="179" customFormat="false" ht="13.5" hidden="false" customHeight="true" outlineLevel="0" collapsed="false">
      <c r="A179" s="1" t="s">
        <v>161</v>
      </c>
      <c r="B179" s="1" t="s">
        <v>659</v>
      </c>
      <c r="C179" s="1" t="s">
        <v>660</v>
      </c>
      <c r="D179" s="3" t="n">
        <f aca="false">ROUND((Data!C179-Data!E179)/Data!C179*100,2)</f>
        <v>42.39</v>
      </c>
      <c r="E179" s="1" t="n">
        <v>31.95</v>
      </c>
      <c r="F179" s="1" t="n">
        <v>36.5</v>
      </c>
      <c r="G179" s="1" t="n">
        <v>4.55</v>
      </c>
      <c r="H179" s="1" t="n">
        <v>14.24</v>
      </c>
      <c r="I179" s="1" t="s">
        <v>13</v>
      </c>
      <c r="J179" s="1" t="s">
        <v>661</v>
      </c>
    </row>
    <row r="180" customFormat="false" ht="13.5" hidden="false" customHeight="true" outlineLevel="0" collapsed="false">
      <c r="A180" s="1" t="s">
        <v>418</v>
      </c>
      <c r="B180" s="1" t="s">
        <v>662</v>
      </c>
      <c r="C180" s="1" t="s">
        <v>663</v>
      </c>
      <c r="D180" s="3" t="n">
        <f aca="false">ROUND((Data!C180-Data!E180)/Data!C180*100,2)</f>
        <v>42.43</v>
      </c>
      <c r="E180" s="1" t="n">
        <v>357.67</v>
      </c>
      <c r="F180" s="1" t="n">
        <v>408.47</v>
      </c>
      <c r="G180" s="1" t="n">
        <v>50.8</v>
      </c>
      <c r="H180" s="1" t="n">
        <v>14.2</v>
      </c>
      <c r="I180" s="1" t="s">
        <v>13</v>
      </c>
      <c r="J180" s="1" t="s">
        <v>664</v>
      </c>
    </row>
    <row r="181" customFormat="false" ht="13.5" hidden="false" customHeight="true" outlineLevel="0" collapsed="false">
      <c r="A181" s="1" t="s">
        <v>665</v>
      </c>
      <c r="B181" s="1" t="s">
        <v>666</v>
      </c>
      <c r="C181" s="1" t="s">
        <v>667</v>
      </c>
      <c r="D181" s="3" t="n">
        <f aca="false">ROUND((Data!C181-Data!E181)/Data!C181*100,2)</f>
        <v>53.12</v>
      </c>
      <c r="E181" s="1" t="n">
        <v>59.9</v>
      </c>
      <c r="F181" s="1" t="n">
        <v>68.35</v>
      </c>
      <c r="G181" s="1" t="n">
        <v>8.45</v>
      </c>
      <c r="H181" s="1" t="n">
        <v>14.11</v>
      </c>
      <c r="I181" s="1" t="s">
        <v>13</v>
      </c>
      <c r="J181" s="1" t="s">
        <v>668</v>
      </c>
    </row>
    <row r="182" customFormat="false" ht="13.5" hidden="false" customHeight="true" outlineLevel="0" collapsed="false">
      <c r="A182" s="1" t="s">
        <v>432</v>
      </c>
      <c r="B182" s="1" t="s">
        <v>669</v>
      </c>
      <c r="C182" s="1" t="s">
        <v>670</v>
      </c>
      <c r="D182" s="3" t="n">
        <f aca="false">ROUND((Data!C182-Data!E182)/Data!C182*100,2)</f>
        <v>34.01</v>
      </c>
      <c r="E182" s="1" t="n">
        <v>56.73</v>
      </c>
      <c r="F182" s="1" t="n">
        <v>64.72</v>
      </c>
      <c r="G182" s="1" t="n">
        <v>7.99</v>
      </c>
      <c r="H182" s="1" t="n">
        <v>14.08</v>
      </c>
      <c r="I182" s="1" t="s">
        <v>13</v>
      </c>
      <c r="J182" s="1" t="s">
        <v>671</v>
      </c>
    </row>
    <row r="183" customFormat="false" ht="13.5" hidden="false" customHeight="true" outlineLevel="0" collapsed="false">
      <c r="A183" s="1" t="s">
        <v>451</v>
      </c>
      <c r="B183" s="1" t="s">
        <v>672</v>
      </c>
      <c r="C183" s="1" t="s">
        <v>673</v>
      </c>
      <c r="D183" s="3" t="n">
        <f aca="false">ROUND((Data!C183-Data!E183)/Data!C183*100,2)</f>
        <v>52.3</v>
      </c>
      <c r="E183" s="1" t="n">
        <v>111.68</v>
      </c>
      <c r="F183" s="1" t="n">
        <v>127.39</v>
      </c>
      <c r="G183" s="1" t="n">
        <v>15.71</v>
      </c>
      <c r="H183" s="1" t="n">
        <v>14.07</v>
      </c>
      <c r="I183" s="1" t="s">
        <v>13</v>
      </c>
      <c r="J183" s="1" t="s">
        <v>674</v>
      </c>
    </row>
    <row r="184" customFormat="false" ht="13.5" hidden="false" customHeight="true" outlineLevel="0" collapsed="false">
      <c r="A184" s="1" t="s">
        <v>203</v>
      </c>
      <c r="B184" s="1" t="s">
        <v>675</v>
      </c>
      <c r="C184" s="1" t="s">
        <v>676</v>
      </c>
      <c r="D184" s="3" t="n">
        <f aca="false">ROUND((Data!C184-Data!E184)/Data!C184*100,2)</f>
        <v>55.97</v>
      </c>
      <c r="E184" s="1" t="n">
        <v>13.54</v>
      </c>
      <c r="F184" s="1" t="n">
        <v>15.42</v>
      </c>
      <c r="G184" s="1" t="n">
        <v>1.88</v>
      </c>
      <c r="H184" s="1" t="n">
        <v>13.88</v>
      </c>
      <c r="I184" s="1" t="s">
        <v>13</v>
      </c>
      <c r="J184" s="1" t="s">
        <v>677</v>
      </c>
    </row>
    <row r="185" customFormat="false" ht="13.5" hidden="false" customHeight="true" outlineLevel="0" collapsed="false">
      <c r="A185" s="1" t="s">
        <v>157</v>
      </c>
      <c r="B185" s="1" t="s">
        <v>678</v>
      </c>
      <c r="C185" s="1" t="s">
        <v>679</v>
      </c>
      <c r="D185" s="3" t="n">
        <f aca="false">ROUND((Data!C185-Data!E185)/Data!C185*100,2)</f>
        <v>42.23</v>
      </c>
      <c r="E185" s="1" t="n">
        <v>171.48</v>
      </c>
      <c r="F185" s="1" t="n">
        <v>195.27</v>
      </c>
      <c r="G185" s="1" t="n">
        <v>23.79</v>
      </c>
      <c r="H185" s="1" t="n">
        <v>13.87</v>
      </c>
      <c r="I185" s="1" t="s">
        <v>13</v>
      </c>
      <c r="J185" s="1" t="s">
        <v>680</v>
      </c>
    </row>
    <row r="186" customFormat="false" ht="13.5" hidden="false" customHeight="true" outlineLevel="0" collapsed="false">
      <c r="A186" s="1" t="s">
        <v>681</v>
      </c>
      <c r="B186" s="1" t="s">
        <v>682</v>
      </c>
      <c r="C186" s="1" t="s">
        <v>683</v>
      </c>
      <c r="D186" s="3" t="n">
        <f aca="false">ROUND((Data!C186-Data!E186)/Data!C186*100,2)</f>
        <v>42.24</v>
      </c>
      <c r="E186" s="1" t="n">
        <v>186.11</v>
      </c>
      <c r="F186" s="1" t="n">
        <v>211.92</v>
      </c>
      <c r="G186" s="1" t="n">
        <v>25.81</v>
      </c>
      <c r="H186" s="1" t="n">
        <v>13.87</v>
      </c>
      <c r="I186" s="1" t="s">
        <v>13</v>
      </c>
      <c r="J186" s="1" t="s">
        <v>684</v>
      </c>
    </row>
    <row r="187" customFormat="false" ht="13.5" hidden="false" customHeight="true" outlineLevel="0" collapsed="false">
      <c r="A187" s="1" t="s">
        <v>685</v>
      </c>
      <c r="B187" s="1" t="s">
        <v>686</v>
      </c>
      <c r="C187" s="1" t="s">
        <v>687</v>
      </c>
      <c r="D187" s="3" t="n">
        <f aca="false">ROUND((Data!C187-Data!E187)/Data!C187*100,2)</f>
        <v>50.96</v>
      </c>
      <c r="E187" s="1" t="n">
        <v>26.5</v>
      </c>
      <c r="F187" s="1" t="n">
        <v>30.14</v>
      </c>
      <c r="G187" s="1" t="n">
        <v>3.64</v>
      </c>
      <c r="H187" s="1" t="n">
        <v>13.74</v>
      </c>
      <c r="I187" s="1" t="s">
        <v>13</v>
      </c>
      <c r="J187" s="1" t="s">
        <v>688</v>
      </c>
    </row>
    <row r="188" customFormat="false" ht="13.5" hidden="false" customHeight="true" outlineLevel="0" collapsed="false">
      <c r="A188" s="1" t="s">
        <v>689</v>
      </c>
      <c r="B188" s="1" t="s">
        <v>690</v>
      </c>
      <c r="C188" s="1" t="s">
        <v>691</v>
      </c>
      <c r="D188" s="3" t="n">
        <f aca="false">ROUND((Data!C188-Data!E188)/Data!C188*100,2)</f>
        <v>46.94</v>
      </c>
      <c r="E188" s="1" t="n">
        <v>31.58</v>
      </c>
      <c r="F188" s="1" t="n">
        <v>35.9</v>
      </c>
      <c r="G188" s="1" t="n">
        <v>4.32</v>
      </c>
      <c r="H188" s="1" t="n">
        <v>13.68</v>
      </c>
      <c r="I188" s="1" t="s">
        <v>13</v>
      </c>
      <c r="J188" s="1" t="s">
        <v>692</v>
      </c>
    </row>
    <row r="189" customFormat="false" ht="13.5" hidden="false" customHeight="true" outlineLevel="0" collapsed="false">
      <c r="A189" s="1" t="s">
        <v>693</v>
      </c>
      <c r="B189" s="1" t="s">
        <v>694</v>
      </c>
      <c r="C189" s="1" t="s">
        <v>695</v>
      </c>
      <c r="D189" s="3" t="n">
        <f aca="false">ROUND((Data!C189-Data!E189)/Data!C189*100,2)</f>
        <v>45.44</v>
      </c>
      <c r="E189" s="1" t="n">
        <v>31.8</v>
      </c>
      <c r="F189" s="1" t="n">
        <v>36.14</v>
      </c>
      <c r="G189" s="1" t="n">
        <v>4.34</v>
      </c>
      <c r="H189" s="1" t="n">
        <v>13.65</v>
      </c>
      <c r="I189" s="1" t="s">
        <v>13</v>
      </c>
      <c r="J189" s="1" t="s">
        <v>696</v>
      </c>
    </row>
    <row r="190" customFormat="false" ht="13.5" hidden="false" customHeight="true" outlineLevel="0" collapsed="false">
      <c r="A190" s="1" t="s">
        <v>697</v>
      </c>
      <c r="B190" s="1" t="s">
        <v>698</v>
      </c>
      <c r="C190" s="1" t="s">
        <v>699</v>
      </c>
      <c r="D190" s="3" t="n">
        <f aca="false">ROUND((Data!C190-Data!E190)/Data!C190*100,2)</f>
        <v>39.71</v>
      </c>
      <c r="E190" s="1" t="n">
        <v>8.73</v>
      </c>
      <c r="F190" s="1" t="n">
        <v>9.91</v>
      </c>
      <c r="G190" s="1" t="n">
        <v>1.18</v>
      </c>
      <c r="H190" s="1" t="n">
        <v>13.52</v>
      </c>
      <c r="I190" s="1" t="s">
        <v>13</v>
      </c>
      <c r="J190" s="1" t="s">
        <v>700</v>
      </c>
    </row>
    <row r="191" customFormat="false" ht="13.5" hidden="false" customHeight="true" outlineLevel="0" collapsed="false">
      <c r="A191" s="1" t="s">
        <v>129</v>
      </c>
      <c r="B191" s="1" t="s">
        <v>701</v>
      </c>
      <c r="C191" s="1" t="s">
        <v>702</v>
      </c>
      <c r="D191" s="3" t="n">
        <f aca="false">ROUND((Data!C191-Data!E191)/Data!C191*100,2)</f>
        <v>46.94</v>
      </c>
      <c r="E191" s="1" t="n">
        <v>52.45</v>
      </c>
      <c r="F191" s="1" t="n">
        <v>59.54</v>
      </c>
      <c r="G191" s="1" t="n">
        <v>7.09</v>
      </c>
      <c r="H191" s="1" t="n">
        <v>13.52</v>
      </c>
      <c r="I191" s="1" t="s">
        <v>13</v>
      </c>
      <c r="J191" s="1" t="s">
        <v>703</v>
      </c>
    </row>
    <row r="192" customFormat="false" ht="13.5" hidden="false" customHeight="true" outlineLevel="0" collapsed="false">
      <c r="A192" s="1" t="s">
        <v>704</v>
      </c>
      <c r="B192" s="1" t="s">
        <v>705</v>
      </c>
      <c r="C192" s="1" t="s">
        <v>706</v>
      </c>
      <c r="D192" s="3" t="n">
        <f aca="false">ROUND((Data!C192-Data!E192)/Data!C192*100,2)</f>
        <v>34.59</v>
      </c>
      <c r="E192" s="1" t="n">
        <v>14.67</v>
      </c>
      <c r="F192" s="1" t="n">
        <v>16.65</v>
      </c>
      <c r="G192" s="1" t="n">
        <v>1.98</v>
      </c>
      <c r="H192" s="1" t="n">
        <v>13.5</v>
      </c>
      <c r="I192" s="1" t="s">
        <v>13</v>
      </c>
      <c r="J192" s="1" t="s">
        <v>707</v>
      </c>
    </row>
    <row r="193" customFormat="false" ht="13.5" hidden="false" customHeight="true" outlineLevel="0" collapsed="false">
      <c r="A193" s="1" t="s">
        <v>332</v>
      </c>
      <c r="B193" s="1" t="s">
        <v>708</v>
      </c>
      <c r="C193" s="1" t="s">
        <v>709</v>
      </c>
      <c r="D193" s="3" t="n">
        <f aca="false">ROUND((Data!C193-Data!E193)/Data!C193*100,2)</f>
        <v>48.37</v>
      </c>
      <c r="E193" s="1" t="n">
        <v>23.48</v>
      </c>
      <c r="F193" s="1" t="n">
        <v>26.65</v>
      </c>
      <c r="G193" s="1" t="n">
        <v>3.17</v>
      </c>
      <c r="H193" s="1" t="n">
        <v>13.5</v>
      </c>
      <c r="I193" s="1" t="s">
        <v>13</v>
      </c>
      <c r="J193" s="1" t="s">
        <v>710</v>
      </c>
    </row>
    <row r="194" customFormat="false" ht="13.5" hidden="false" customHeight="true" outlineLevel="0" collapsed="false">
      <c r="A194" s="1" t="s">
        <v>260</v>
      </c>
      <c r="B194" s="1" t="s">
        <v>711</v>
      </c>
      <c r="C194" s="1" t="s">
        <v>712</v>
      </c>
      <c r="D194" s="3" t="n">
        <f aca="false">ROUND((Data!C194-Data!E194)/Data!C194*100,2)</f>
        <v>49.36</v>
      </c>
      <c r="E194" s="1" t="n">
        <v>65.13</v>
      </c>
      <c r="F194" s="1" t="n">
        <v>73.85</v>
      </c>
      <c r="G194" s="1" t="n">
        <v>8.72</v>
      </c>
      <c r="H194" s="1" t="n">
        <v>13.39</v>
      </c>
      <c r="I194" s="1" t="s">
        <v>13</v>
      </c>
      <c r="J194" s="1" t="s">
        <v>713</v>
      </c>
    </row>
    <row r="195" customFormat="false" ht="13.5" hidden="false" customHeight="true" outlineLevel="0" collapsed="false">
      <c r="A195" s="1" t="s">
        <v>714</v>
      </c>
      <c r="B195" s="1" t="s">
        <v>715</v>
      </c>
      <c r="C195" s="1" t="s">
        <v>716</v>
      </c>
      <c r="D195" s="3" t="n">
        <f aca="false">ROUND((Data!C195-Data!E195)/Data!C195*100,2)</f>
        <v>45.37</v>
      </c>
      <c r="E195" s="1" t="n">
        <v>22.76</v>
      </c>
      <c r="F195" s="1" t="n">
        <v>25.79</v>
      </c>
      <c r="G195" s="1" t="n">
        <v>3.03</v>
      </c>
      <c r="H195" s="1" t="n">
        <v>13.31</v>
      </c>
      <c r="I195" s="1" t="s">
        <v>13</v>
      </c>
      <c r="J195" s="1" t="s">
        <v>717</v>
      </c>
    </row>
    <row r="196" customFormat="false" ht="13.5" hidden="false" customHeight="true" outlineLevel="0" collapsed="false">
      <c r="A196" s="1" t="s">
        <v>718</v>
      </c>
      <c r="B196" s="1" t="s">
        <v>719</v>
      </c>
      <c r="C196" s="1" t="s">
        <v>720</v>
      </c>
      <c r="D196" s="3" t="n">
        <f aca="false">ROUND((Data!C196-Data!E196)/Data!C196*100,2)</f>
        <v>54.62</v>
      </c>
      <c r="E196" s="1" t="n">
        <v>225.51</v>
      </c>
      <c r="F196" s="1" t="n">
        <v>255.41</v>
      </c>
      <c r="G196" s="1" t="n">
        <v>29.9</v>
      </c>
      <c r="H196" s="1" t="n">
        <v>13.26</v>
      </c>
      <c r="I196" s="1" t="s">
        <v>13</v>
      </c>
      <c r="J196" s="1" t="s">
        <v>721</v>
      </c>
    </row>
    <row r="197" customFormat="false" ht="13.5" hidden="false" customHeight="true" outlineLevel="0" collapsed="false">
      <c r="A197" s="1" t="s">
        <v>528</v>
      </c>
      <c r="B197" s="1" t="s">
        <v>722</v>
      </c>
      <c r="C197" s="1" t="s">
        <v>723</v>
      </c>
      <c r="D197" s="3" t="n">
        <f aca="false">ROUND((Data!C197-Data!E197)/Data!C197*100,2)</f>
        <v>42.55</v>
      </c>
      <c r="E197" s="1" t="n">
        <v>68.68</v>
      </c>
      <c r="F197" s="1" t="n">
        <v>77.74</v>
      </c>
      <c r="G197" s="1" t="n">
        <v>9.06</v>
      </c>
      <c r="H197" s="1" t="n">
        <v>13.19</v>
      </c>
      <c r="I197" s="1" t="s">
        <v>13</v>
      </c>
      <c r="J197" s="1" t="s">
        <v>724</v>
      </c>
    </row>
    <row r="198" customFormat="false" ht="13.5" hidden="false" customHeight="true" outlineLevel="0" collapsed="false">
      <c r="A198" s="1" t="s">
        <v>725</v>
      </c>
      <c r="B198" s="1" t="s">
        <v>726</v>
      </c>
      <c r="C198" s="1" t="s">
        <v>727</v>
      </c>
      <c r="D198" s="3" t="n">
        <f aca="false">ROUND((Data!C198-Data!E198)/Data!C198*100,2)</f>
        <v>58.1</v>
      </c>
      <c r="E198" s="1" t="n">
        <v>24.4</v>
      </c>
      <c r="F198" s="1" t="n">
        <v>27.61</v>
      </c>
      <c r="G198" s="1" t="n">
        <v>3.21</v>
      </c>
      <c r="H198" s="1" t="n">
        <v>13.16</v>
      </c>
      <c r="I198" s="1" t="s">
        <v>13</v>
      </c>
      <c r="J198" s="1" t="s">
        <v>728</v>
      </c>
    </row>
    <row r="199" customFormat="false" ht="13.5" hidden="false" customHeight="true" outlineLevel="0" collapsed="false">
      <c r="A199" s="1" t="s">
        <v>729</v>
      </c>
      <c r="B199" s="1" t="s">
        <v>730</v>
      </c>
      <c r="C199" s="1" t="s">
        <v>731</v>
      </c>
      <c r="D199" s="3" t="n">
        <f aca="false">ROUND((Data!C199-Data!E199)/Data!C199*100,2)</f>
        <v>40.46</v>
      </c>
      <c r="E199" s="1" t="n">
        <v>66.01</v>
      </c>
      <c r="F199" s="1" t="n">
        <v>74.67</v>
      </c>
      <c r="G199" s="1" t="n">
        <v>8.66</v>
      </c>
      <c r="H199" s="1" t="n">
        <v>13.12</v>
      </c>
      <c r="I199" s="1" t="s">
        <v>13</v>
      </c>
      <c r="J199" s="1" t="s">
        <v>732</v>
      </c>
    </row>
    <row r="200" customFormat="false" ht="13.5" hidden="false" customHeight="true" outlineLevel="0" collapsed="false">
      <c r="A200" s="1" t="s">
        <v>733</v>
      </c>
      <c r="B200" s="1" t="s">
        <v>734</v>
      </c>
      <c r="C200" s="1" t="s">
        <v>735</v>
      </c>
      <c r="D200" s="3" t="n">
        <f aca="false">ROUND((Data!C200-Data!E200)/Data!C200*100,2)</f>
        <v>51.73</v>
      </c>
      <c r="E200" s="1" t="n">
        <v>64.92</v>
      </c>
      <c r="F200" s="1" t="n">
        <v>73.4</v>
      </c>
      <c r="G200" s="1" t="n">
        <v>8.48</v>
      </c>
      <c r="H200" s="1" t="n">
        <v>13.06</v>
      </c>
      <c r="I200" s="1" t="s">
        <v>13</v>
      </c>
      <c r="J200" s="1" t="s">
        <v>736</v>
      </c>
    </row>
    <row r="201" customFormat="false" ht="13.5" hidden="false" customHeight="true" outlineLevel="0" collapsed="false">
      <c r="A201" s="1" t="s">
        <v>358</v>
      </c>
      <c r="B201" s="1" t="s">
        <v>737</v>
      </c>
      <c r="C201" s="1" t="s">
        <v>738</v>
      </c>
      <c r="D201" s="3" t="n">
        <f aca="false">ROUND((Data!C201-Data!E201)/Data!C201*100,2)</f>
        <v>43.67</v>
      </c>
      <c r="E201" s="1" t="n">
        <v>35.48</v>
      </c>
      <c r="F201" s="1" t="n">
        <v>40.08</v>
      </c>
      <c r="G201" s="1" t="n">
        <v>4.6</v>
      </c>
      <c r="H201" s="1" t="n">
        <v>12.97</v>
      </c>
      <c r="I201" s="1" t="s">
        <v>13</v>
      </c>
      <c r="J201" s="1" t="s">
        <v>739</v>
      </c>
    </row>
    <row r="202" customFormat="false" ht="13.5" hidden="false" customHeight="true" outlineLevel="0" collapsed="false">
      <c r="A202" s="1" t="s">
        <v>543</v>
      </c>
      <c r="B202" s="1" t="s">
        <v>740</v>
      </c>
      <c r="C202" s="1" t="s">
        <v>741</v>
      </c>
      <c r="D202" s="3" t="n">
        <f aca="false">ROUND((Data!C202-Data!E202)/Data!C202*100,2)</f>
        <v>43.04</v>
      </c>
      <c r="E202" s="1" t="n">
        <v>223</v>
      </c>
      <c r="F202" s="1" t="n">
        <v>251.75</v>
      </c>
      <c r="G202" s="1" t="n">
        <v>28.75</v>
      </c>
      <c r="H202" s="1" t="n">
        <v>12.89</v>
      </c>
      <c r="I202" s="1" t="s">
        <v>13</v>
      </c>
      <c r="J202" s="1" t="s">
        <v>742</v>
      </c>
    </row>
    <row r="203" customFormat="false" ht="13.5" hidden="false" customHeight="true" outlineLevel="0" collapsed="false">
      <c r="A203" s="1" t="s">
        <v>743</v>
      </c>
      <c r="B203" s="1" t="s">
        <v>744</v>
      </c>
      <c r="C203" s="1" t="s">
        <v>745</v>
      </c>
      <c r="D203" s="3" t="n">
        <f aca="false">ROUND((Data!C203-Data!E203)/Data!C203*100,2)</f>
        <v>57.68</v>
      </c>
      <c r="E203" s="1" t="n">
        <v>73.23</v>
      </c>
      <c r="F203" s="1" t="n">
        <v>82.6</v>
      </c>
      <c r="G203" s="1" t="n">
        <v>9.37</v>
      </c>
      <c r="H203" s="1" t="n">
        <v>12.8</v>
      </c>
      <c r="I203" s="1" t="s">
        <v>13</v>
      </c>
      <c r="J203" s="1" t="s">
        <v>746</v>
      </c>
    </row>
    <row r="204" customFormat="false" ht="13.5" hidden="false" customHeight="true" outlineLevel="0" collapsed="false">
      <c r="A204" s="1" t="s">
        <v>747</v>
      </c>
      <c r="B204" s="1" t="s">
        <v>748</v>
      </c>
      <c r="C204" s="1" t="s">
        <v>749</v>
      </c>
      <c r="D204" s="3" t="n">
        <f aca="false">ROUND((Data!C204-Data!E204)/Data!C204*100,2)</f>
        <v>44.45</v>
      </c>
      <c r="E204" s="1" t="n">
        <v>237.9</v>
      </c>
      <c r="F204" s="1" t="n">
        <v>268.29</v>
      </c>
      <c r="G204" s="1" t="n">
        <v>30.39</v>
      </c>
      <c r="H204" s="1" t="n">
        <v>12.77</v>
      </c>
      <c r="I204" s="1" t="s">
        <v>13</v>
      </c>
      <c r="J204" s="1" t="s">
        <v>750</v>
      </c>
    </row>
    <row r="205" customFormat="false" ht="13.5" hidden="false" customHeight="true" outlineLevel="0" collapsed="false">
      <c r="A205" s="1" t="s">
        <v>751</v>
      </c>
      <c r="B205" s="1" t="s">
        <v>752</v>
      </c>
      <c r="C205" s="1" t="s">
        <v>753</v>
      </c>
      <c r="D205" s="3" t="n">
        <f aca="false">ROUND((Data!C205-Data!E205)/Data!C205*100,2)</f>
        <v>45.43</v>
      </c>
      <c r="E205" s="1" t="n">
        <v>78.1</v>
      </c>
      <c r="F205" s="1" t="n">
        <v>87.82</v>
      </c>
      <c r="G205" s="1" t="n">
        <v>9.72</v>
      </c>
      <c r="H205" s="1" t="n">
        <v>12.45</v>
      </c>
      <c r="I205" s="1" t="s">
        <v>13</v>
      </c>
      <c r="J205" s="1" t="s">
        <v>754</v>
      </c>
    </row>
    <row r="206" customFormat="false" ht="13.5" hidden="false" customHeight="true" outlineLevel="0" collapsed="false">
      <c r="A206" s="1" t="s">
        <v>358</v>
      </c>
      <c r="B206" s="1" t="s">
        <v>755</v>
      </c>
      <c r="C206" s="1" t="s">
        <v>756</v>
      </c>
      <c r="D206" s="3" t="n">
        <f aca="false">ROUND((Data!C206-Data!E206)/Data!C206*100,2)</f>
        <v>39.94</v>
      </c>
      <c r="E206" s="1" t="n">
        <v>33.99</v>
      </c>
      <c r="F206" s="1" t="n">
        <v>38.21</v>
      </c>
      <c r="G206" s="1" t="n">
        <v>4.22</v>
      </c>
      <c r="H206" s="1" t="n">
        <v>12.42</v>
      </c>
      <c r="I206" s="1" t="s">
        <v>13</v>
      </c>
      <c r="J206" s="1" t="s">
        <v>757</v>
      </c>
    </row>
    <row r="207" customFormat="false" ht="13.5" hidden="false" customHeight="true" outlineLevel="0" collapsed="false">
      <c r="A207" s="1" t="s">
        <v>758</v>
      </c>
      <c r="B207" s="1" t="s">
        <v>759</v>
      </c>
      <c r="C207" s="1" t="s">
        <v>760</v>
      </c>
      <c r="D207" s="3" t="n">
        <f aca="false">ROUND((Data!C207-Data!E207)/Data!C207*100,2)</f>
        <v>54.29</v>
      </c>
      <c r="E207" s="1" t="n">
        <v>61.97</v>
      </c>
      <c r="F207" s="1" t="n">
        <v>69.44</v>
      </c>
      <c r="G207" s="1" t="n">
        <v>7.47</v>
      </c>
      <c r="H207" s="1" t="n">
        <v>12.05</v>
      </c>
      <c r="I207" s="1" t="s">
        <v>13</v>
      </c>
      <c r="J207" s="1" t="s">
        <v>761</v>
      </c>
    </row>
    <row r="208" customFormat="false" ht="13.5" hidden="false" customHeight="true" outlineLevel="0" collapsed="false">
      <c r="A208" s="1" t="s">
        <v>762</v>
      </c>
      <c r="B208" s="1" t="s">
        <v>763</v>
      </c>
      <c r="C208" s="1" t="s">
        <v>764</v>
      </c>
      <c r="D208" s="3" t="n">
        <f aca="false">ROUND((Data!C208-Data!E208)/Data!C208*100,2)</f>
        <v>47.36</v>
      </c>
      <c r="E208" s="1" t="n">
        <v>411.7</v>
      </c>
      <c r="F208" s="1" t="n">
        <v>461</v>
      </c>
      <c r="G208" s="1" t="n">
        <v>49.3</v>
      </c>
      <c r="H208" s="1" t="n">
        <v>11.97</v>
      </c>
      <c r="I208" s="1" t="s">
        <v>13</v>
      </c>
      <c r="J208" s="1" t="s">
        <v>765</v>
      </c>
    </row>
    <row r="209" customFormat="false" ht="13.5" hidden="false" customHeight="true" outlineLevel="0" collapsed="false">
      <c r="A209" s="1" t="s">
        <v>570</v>
      </c>
      <c r="B209" s="1" t="s">
        <v>766</v>
      </c>
      <c r="C209" s="1" t="s">
        <v>767</v>
      </c>
      <c r="D209" s="3" t="n">
        <f aca="false">ROUND((Data!C209-Data!E209)/Data!C209*100,2)</f>
        <v>40.2</v>
      </c>
      <c r="E209" s="1" t="n">
        <v>31.43</v>
      </c>
      <c r="F209" s="1" t="n">
        <v>35.19</v>
      </c>
      <c r="G209" s="1" t="n">
        <v>3.76</v>
      </c>
      <c r="H209" s="1" t="n">
        <v>11.96</v>
      </c>
      <c r="I209" s="1" t="s">
        <v>13</v>
      </c>
      <c r="J209" s="1" t="s">
        <v>768</v>
      </c>
    </row>
    <row r="210" customFormat="false" ht="13.5" hidden="false" customHeight="true" outlineLevel="0" collapsed="false">
      <c r="A210" s="1" t="s">
        <v>465</v>
      </c>
      <c r="B210" s="1" t="s">
        <v>769</v>
      </c>
      <c r="C210" s="1" t="s">
        <v>770</v>
      </c>
      <c r="D210" s="3" t="n">
        <f aca="false">ROUND((Data!C210-Data!E210)/Data!C210*100,2)</f>
        <v>52.43</v>
      </c>
      <c r="E210" s="1" t="n">
        <v>51.98</v>
      </c>
      <c r="F210" s="1" t="n">
        <v>58.19</v>
      </c>
      <c r="G210" s="1" t="n">
        <v>6.21</v>
      </c>
      <c r="H210" s="1" t="n">
        <v>11.95</v>
      </c>
      <c r="I210" s="1" t="s">
        <v>13</v>
      </c>
      <c r="J210" s="1" t="s">
        <v>771</v>
      </c>
    </row>
    <row r="211" customFormat="false" ht="13.5" hidden="false" customHeight="true" outlineLevel="0" collapsed="false">
      <c r="A211" s="1" t="s">
        <v>358</v>
      </c>
      <c r="B211" s="1" t="s">
        <v>772</v>
      </c>
      <c r="C211" s="1" t="s">
        <v>773</v>
      </c>
      <c r="D211" s="3" t="n">
        <f aca="false">ROUND((Data!C211-Data!E211)/Data!C211*100,2)</f>
        <v>48.55</v>
      </c>
      <c r="E211" s="1" t="n">
        <v>30.62</v>
      </c>
      <c r="F211" s="1" t="n">
        <v>34.23</v>
      </c>
      <c r="G211" s="1" t="n">
        <v>3.61</v>
      </c>
      <c r="H211" s="1" t="n">
        <v>11.79</v>
      </c>
      <c r="I211" s="1" t="s">
        <v>13</v>
      </c>
      <c r="J211" s="1" t="s">
        <v>774</v>
      </c>
    </row>
    <row r="212" customFormat="false" ht="13.5" hidden="false" customHeight="true" outlineLevel="0" collapsed="false">
      <c r="A212" s="1" t="s">
        <v>157</v>
      </c>
      <c r="B212" s="1" t="s">
        <v>775</v>
      </c>
      <c r="C212" s="1" t="s">
        <v>776</v>
      </c>
      <c r="D212" s="3" t="n">
        <f aca="false">ROUND((Data!C212-Data!E212)/Data!C212*100,2)</f>
        <v>51.92</v>
      </c>
      <c r="E212" s="1" t="n">
        <v>95.37</v>
      </c>
      <c r="F212" s="1" t="n">
        <v>106.6</v>
      </c>
      <c r="G212" s="1" t="n">
        <v>11.23</v>
      </c>
      <c r="H212" s="1" t="n">
        <v>11.78</v>
      </c>
      <c r="I212" s="1" t="s">
        <v>13</v>
      </c>
      <c r="J212" s="1" t="s">
        <v>777</v>
      </c>
    </row>
    <row r="213" customFormat="false" ht="13.5" hidden="false" customHeight="true" outlineLevel="0" collapsed="false">
      <c r="A213" s="1" t="s">
        <v>778</v>
      </c>
      <c r="B213" s="1" t="s">
        <v>779</v>
      </c>
      <c r="C213" s="1" t="s">
        <v>780</v>
      </c>
      <c r="D213" s="3" t="n">
        <f aca="false">ROUND((Data!C213-Data!E213)/Data!C213*100,2)</f>
        <v>52.12</v>
      </c>
      <c r="E213" s="1" t="n">
        <v>66</v>
      </c>
      <c r="F213" s="1" t="n">
        <v>73.76</v>
      </c>
      <c r="G213" s="1" t="n">
        <v>7.76</v>
      </c>
      <c r="H213" s="1" t="n">
        <v>11.76</v>
      </c>
      <c r="I213" s="1" t="s">
        <v>13</v>
      </c>
      <c r="J213" s="1" t="s">
        <v>781</v>
      </c>
    </row>
    <row r="214" customFormat="false" ht="13.5" hidden="false" customHeight="true" outlineLevel="0" collapsed="false">
      <c r="A214" s="1" t="s">
        <v>782</v>
      </c>
      <c r="B214" s="1" t="s">
        <v>783</v>
      </c>
      <c r="C214" s="1" t="s">
        <v>784</v>
      </c>
      <c r="D214" s="3" t="n">
        <f aca="false">ROUND((Data!C214-Data!E214)/Data!C214*100,2)</f>
        <v>58.93</v>
      </c>
      <c r="E214" s="1" t="n">
        <v>346.99</v>
      </c>
      <c r="F214" s="1" t="n">
        <v>386.6</v>
      </c>
      <c r="G214" s="1" t="n">
        <v>39.61</v>
      </c>
      <c r="H214" s="1" t="n">
        <v>11.42</v>
      </c>
      <c r="I214" s="1" t="s">
        <v>13</v>
      </c>
      <c r="J214" s="1" t="s">
        <v>785</v>
      </c>
    </row>
    <row r="215" customFormat="false" ht="13.5" hidden="false" customHeight="true" outlineLevel="0" collapsed="false">
      <c r="A215" s="1" t="s">
        <v>528</v>
      </c>
      <c r="B215" s="1" t="s">
        <v>786</v>
      </c>
      <c r="C215" s="1" t="s">
        <v>787</v>
      </c>
      <c r="D215" s="3" t="n">
        <f aca="false">ROUND((Data!C215-Data!E215)/Data!C215*100,2)</f>
        <v>52.34</v>
      </c>
      <c r="E215" s="1" t="n">
        <v>133.8</v>
      </c>
      <c r="F215" s="1" t="n">
        <v>148.78</v>
      </c>
      <c r="G215" s="1" t="n">
        <v>14.98</v>
      </c>
      <c r="H215" s="1" t="n">
        <v>11.2</v>
      </c>
      <c r="I215" s="1" t="s">
        <v>13</v>
      </c>
      <c r="J215" s="1" t="s">
        <v>788</v>
      </c>
    </row>
    <row r="216" customFormat="false" ht="13.5" hidden="false" customHeight="true" outlineLevel="0" collapsed="false">
      <c r="A216" s="1" t="s">
        <v>789</v>
      </c>
      <c r="B216" s="1" t="s">
        <v>790</v>
      </c>
      <c r="C216" s="1" t="s">
        <v>791</v>
      </c>
      <c r="D216" s="3" t="n">
        <f aca="false">ROUND((Data!C216-Data!E216)/Data!C216*100,2)</f>
        <v>41.97</v>
      </c>
      <c r="E216" s="1" t="n">
        <v>93.12</v>
      </c>
      <c r="F216" s="1" t="n">
        <v>103.48</v>
      </c>
      <c r="G216" s="1" t="n">
        <v>10.36</v>
      </c>
      <c r="H216" s="1" t="n">
        <v>11.13</v>
      </c>
      <c r="I216" s="1" t="s">
        <v>13</v>
      </c>
      <c r="J216" s="1" t="s">
        <v>792</v>
      </c>
    </row>
    <row r="217" customFormat="false" ht="13.5" hidden="false" customHeight="true" outlineLevel="0" collapsed="false">
      <c r="A217" s="1" t="s">
        <v>743</v>
      </c>
      <c r="B217" s="1" t="s">
        <v>793</v>
      </c>
      <c r="C217" s="1" t="s">
        <v>794</v>
      </c>
      <c r="D217" s="3" t="n">
        <f aca="false">ROUND((Data!C217-Data!E217)/Data!C217*100,2)</f>
        <v>49.08</v>
      </c>
      <c r="E217" s="1" t="n">
        <v>148.59</v>
      </c>
      <c r="F217" s="1" t="n">
        <v>164.8</v>
      </c>
      <c r="G217" s="1" t="n">
        <v>16.21</v>
      </c>
      <c r="H217" s="1" t="n">
        <v>10.91</v>
      </c>
      <c r="I217" s="1" t="s">
        <v>13</v>
      </c>
      <c r="J217" s="1" t="s">
        <v>795</v>
      </c>
    </row>
    <row r="218" customFormat="false" ht="13.5" hidden="false" customHeight="true" outlineLevel="0" collapsed="false">
      <c r="A218" s="1" t="s">
        <v>796</v>
      </c>
      <c r="B218" s="1" t="s">
        <v>797</v>
      </c>
      <c r="C218" s="1" t="s">
        <v>798</v>
      </c>
      <c r="D218" s="3" t="n">
        <f aca="false">ROUND((Data!C218-Data!E218)/Data!C218*100,2)</f>
        <v>48.13</v>
      </c>
      <c r="E218" s="1" t="n">
        <v>100.83</v>
      </c>
      <c r="F218" s="1" t="n">
        <v>111.8</v>
      </c>
      <c r="G218" s="1" t="n">
        <v>10.97</v>
      </c>
      <c r="H218" s="1" t="n">
        <v>10.88</v>
      </c>
      <c r="I218" s="1" t="s">
        <v>13</v>
      </c>
      <c r="J218" s="1" t="s">
        <v>799</v>
      </c>
    </row>
    <row r="219" customFormat="false" ht="13.5" hidden="false" customHeight="true" outlineLevel="0" collapsed="false">
      <c r="A219" s="1" t="s">
        <v>268</v>
      </c>
      <c r="B219" s="1" t="s">
        <v>800</v>
      </c>
      <c r="C219" s="1" t="s">
        <v>801</v>
      </c>
      <c r="D219" s="3" t="n">
        <f aca="false">ROUND((Data!C219-Data!E219)/Data!C219*100,2)</f>
        <v>51</v>
      </c>
      <c r="E219" s="1" t="n">
        <v>39.89</v>
      </c>
      <c r="F219" s="1" t="n">
        <v>44.1</v>
      </c>
      <c r="G219" s="1" t="n">
        <v>4.21</v>
      </c>
      <c r="H219" s="1" t="n">
        <v>10.55</v>
      </c>
      <c r="I219" s="1" t="s">
        <v>13</v>
      </c>
      <c r="J219" s="1" t="s">
        <v>802</v>
      </c>
    </row>
    <row r="220" customFormat="false" ht="13.5" hidden="false" customHeight="true" outlineLevel="0" collapsed="false">
      <c r="A220" s="1" t="s">
        <v>114</v>
      </c>
      <c r="B220" s="1" t="s">
        <v>803</v>
      </c>
      <c r="C220" s="1" t="s">
        <v>804</v>
      </c>
      <c r="D220" s="3" t="n">
        <f aca="false">ROUND((Data!C220-Data!E220)/Data!C220*100,2)</f>
        <v>45.39</v>
      </c>
      <c r="E220" s="1" t="n">
        <v>20.45</v>
      </c>
      <c r="F220" s="1" t="n">
        <v>22.57</v>
      </c>
      <c r="G220" s="1" t="n">
        <v>2.12</v>
      </c>
      <c r="H220" s="1" t="n">
        <v>10.37</v>
      </c>
      <c r="I220" s="1" t="s">
        <v>13</v>
      </c>
      <c r="J220" s="1" t="s">
        <v>805</v>
      </c>
    </row>
    <row r="221" customFormat="false" ht="13.5" hidden="false" customHeight="true" outlineLevel="0" collapsed="false">
      <c r="A221" s="1" t="s">
        <v>806</v>
      </c>
      <c r="B221" s="1" t="s">
        <v>807</v>
      </c>
      <c r="C221" s="1" t="s">
        <v>808</v>
      </c>
      <c r="D221" s="3" t="n">
        <f aca="false">ROUND((Data!C221-Data!E221)/Data!C221*100,2)</f>
        <v>38.18</v>
      </c>
      <c r="E221" s="1" t="n">
        <v>63.25</v>
      </c>
      <c r="F221" s="1" t="n">
        <v>69.75</v>
      </c>
      <c r="G221" s="1" t="n">
        <v>6.5</v>
      </c>
      <c r="H221" s="1" t="n">
        <v>10.28</v>
      </c>
      <c r="I221" s="1" t="s">
        <v>13</v>
      </c>
      <c r="J221" s="1" t="s">
        <v>809</v>
      </c>
    </row>
    <row r="222" customFormat="false" ht="13.5" hidden="false" customHeight="true" outlineLevel="0" collapsed="false">
      <c r="A222" s="1" t="s">
        <v>810</v>
      </c>
      <c r="B222" s="1" t="s">
        <v>811</v>
      </c>
      <c r="C222" s="1" t="s">
        <v>812</v>
      </c>
      <c r="D222" s="3" t="n">
        <f aca="false">ROUND((Data!C222-Data!E222)/Data!C222*100,2)</f>
        <v>43.75</v>
      </c>
      <c r="E222" s="1" t="n">
        <v>84.4</v>
      </c>
      <c r="F222" s="1" t="n">
        <v>92.91</v>
      </c>
      <c r="G222" s="1" t="n">
        <v>8.51</v>
      </c>
      <c r="H222" s="1" t="n">
        <v>10.08</v>
      </c>
      <c r="I222" s="1" t="s">
        <v>13</v>
      </c>
      <c r="J222" s="1" t="s">
        <v>813</v>
      </c>
    </row>
    <row r="223" customFormat="false" ht="13.5" hidden="false" customHeight="true" outlineLevel="0" collapsed="false">
      <c r="A223" s="1" t="s">
        <v>260</v>
      </c>
      <c r="B223" s="1" t="s">
        <v>814</v>
      </c>
      <c r="C223" s="1" t="s">
        <v>815</v>
      </c>
      <c r="D223" s="3" t="n">
        <f aca="false">ROUND((Data!C223-Data!E223)/Data!C223*100,2)</f>
        <v>35.34</v>
      </c>
      <c r="E223" s="1" t="n">
        <v>7.05</v>
      </c>
      <c r="F223" s="1" t="n">
        <v>7.76</v>
      </c>
      <c r="G223" s="1" t="n">
        <v>0.71</v>
      </c>
      <c r="H223" s="1" t="n">
        <v>10.07</v>
      </c>
      <c r="I223" s="1" t="s">
        <v>13</v>
      </c>
      <c r="J223" s="1" t="s">
        <v>816</v>
      </c>
    </row>
    <row r="224" customFormat="false" ht="13.5" hidden="false" customHeight="true" outlineLevel="0" collapsed="false">
      <c r="A224" s="1" t="s">
        <v>817</v>
      </c>
      <c r="B224" s="1" t="s">
        <v>818</v>
      </c>
      <c r="C224" s="1" t="s">
        <v>819</v>
      </c>
      <c r="D224" s="3" t="n">
        <f aca="false">ROUND((Data!C224-Data!E224)/Data!C224*100,2)</f>
        <v>42.63</v>
      </c>
      <c r="E224" s="1" t="n">
        <v>25.52</v>
      </c>
      <c r="F224" s="1" t="n">
        <v>28.08</v>
      </c>
      <c r="G224" s="1" t="n">
        <v>2.56</v>
      </c>
      <c r="H224" s="1" t="n">
        <v>10.03</v>
      </c>
      <c r="I224" s="1" t="s">
        <v>13</v>
      </c>
      <c r="J224" s="1" t="s">
        <v>820</v>
      </c>
    </row>
    <row r="225" customFormat="false" ht="13.5" hidden="false" customHeight="true" outlineLevel="0" collapsed="false">
      <c r="A225" s="1" t="s">
        <v>583</v>
      </c>
      <c r="B225" s="1" t="s">
        <v>821</v>
      </c>
      <c r="C225" s="1" t="s">
        <v>822</v>
      </c>
      <c r="D225" s="3" t="n">
        <f aca="false">ROUND((Data!C225-Data!E225)/Data!C225*100,2)</f>
        <v>51.86</v>
      </c>
      <c r="E225" s="1" t="n">
        <v>80.49</v>
      </c>
      <c r="F225" s="1" t="n">
        <v>88.53</v>
      </c>
      <c r="G225" s="1" t="n">
        <v>8.04</v>
      </c>
      <c r="H225" s="1" t="n">
        <v>9.99</v>
      </c>
      <c r="I225" s="1" t="s">
        <v>13</v>
      </c>
      <c r="J225" s="1" t="s">
        <v>823</v>
      </c>
    </row>
    <row r="226" customFormat="false" ht="13.5" hidden="false" customHeight="true" outlineLevel="0" collapsed="false">
      <c r="A226" s="1" t="s">
        <v>824</v>
      </c>
      <c r="B226" s="1" t="s">
        <v>825</v>
      </c>
      <c r="C226" s="1" t="s">
        <v>826</v>
      </c>
      <c r="D226" s="3" t="n">
        <f aca="false">ROUND((Data!C226-Data!E226)/Data!C226*100,2)</f>
        <v>39.12</v>
      </c>
      <c r="E226" s="1" t="n">
        <v>11.73</v>
      </c>
      <c r="F226" s="1" t="n">
        <v>12.9</v>
      </c>
      <c r="G226" s="1" t="n">
        <v>1.17</v>
      </c>
      <c r="H226" s="1" t="n">
        <v>9.97</v>
      </c>
      <c r="I226" s="1" t="s">
        <v>13</v>
      </c>
      <c r="J226" s="1" t="s">
        <v>827</v>
      </c>
    </row>
    <row r="227" customFormat="false" ht="13.5" hidden="false" customHeight="true" outlineLevel="0" collapsed="false">
      <c r="A227" s="1" t="s">
        <v>377</v>
      </c>
      <c r="B227" s="1" t="s">
        <v>828</v>
      </c>
      <c r="C227" s="1" t="s">
        <v>829</v>
      </c>
      <c r="D227" s="3" t="n">
        <f aca="false">ROUND((Data!C227-Data!E227)/Data!C227*100,2)</f>
        <v>54.28</v>
      </c>
      <c r="E227" s="1" t="n">
        <v>32.72</v>
      </c>
      <c r="F227" s="1" t="n">
        <v>35.97</v>
      </c>
      <c r="G227" s="1" t="n">
        <v>3.25</v>
      </c>
      <c r="H227" s="1" t="n">
        <v>9.93</v>
      </c>
      <c r="I227" s="1" t="s">
        <v>13</v>
      </c>
      <c r="J227" s="1" t="s">
        <v>830</v>
      </c>
    </row>
    <row r="228" customFormat="false" ht="13.5" hidden="false" customHeight="true" outlineLevel="0" collapsed="false">
      <c r="A228" s="1" t="s">
        <v>831</v>
      </c>
      <c r="B228" s="1" t="s">
        <v>832</v>
      </c>
      <c r="C228" s="1" t="s">
        <v>833</v>
      </c>
      <c r="D228" s="3" t="n">
        <f aca="false">ROUND((Data!C228-Data!E228)/Data!C228*100,2)</f>
        <v>52.56</v>
      </c>
      <c r="E228" s="1" t="n">
        <v>23.69</v>
      </c>
      <c r="F228" s="1" t="n">
        <v>26.03</v>
      </c>
      <c r="G228" s="1" t="n">
        <v>2.34</v>
      </c>
      <c r="H228" s="1" t="n">
        <v>9.88</v>
      </c>
      <c r="I228" s="1" t="s">
        <v>13</v>
      </c>
      <c r="J228" s="1" t="s">
        <v>834</v>
      </c>
    </row>
    <row r="229" customFormat="false" ht="13.5" hidden="false" customHeight="true" outlineLevel="0" collapsed="false">
      <c r="A229" s="1" t="s">
        <v>835</v>
      </c>
      <c r="B229" s="1" t="s">
        <v>836</v>
      </c>
      <c r="C229" s="1" t="s">
        <v>837</v>
      </c>
      <c r="D229" s="3" t="n">
        <f aca="false">ROUND((Data!C229-Data!E229)/Data!C229*100,2)</f>
        <v>48.13</v>
      </c>
      <c r="E229" s="1" t="n">
        <v>14.92</v>
      </c>
      <c r="F229" s="1" t="n">
        <v>16.39</v>
      </c>
      <c r="G229" s="1" t="n">
        <v>1.47</v>
      </c>
      <c r="H229" s="1" t="n">
        <v>9.85</v>
      </c>
      <c r="I229" s="1" t="s">
        <v>13</v>
      </c>
      <c r="J229" s="1" t="s">
        <v>838</v>
      </c>
    </row>
    <row r="230" customFormat="false" ht="13.5" hidden="false" customHeight="true" outlineLevel="0" collapsed="false">
      <c r="A230" s="1" t="s">
        <v>100</v>
      </c>
      <c r="B230" s="1" t="s">
        <v>839</v>
      </c>
      <c r="C230" s="1" t="s">
        <v>840</v>
      </c>
      <c r="D230" s="3" t="n">
        <f aca="false">ROUND((Data!C230-Data!E230)/Data!C230*100,2)</f>
        <v>49.07</v>
      </c>
      <c r="E230" s="1" t="n">
        <v>21.7</v>
      </c>
      <c r="F230" s="1" t="n">
        <v>23.79</v>
      </c>
      <c r="G230" s="1" t="n">
        <v>2.09</v>
      </c>
      <c r="H230" s="1" t="n">
        <v>9.63</v>
      </c>
      <c r="I230" s="1" t="s">
        <v>13</v>
      </c>
      <c r="J230" s="1" t="s">
        <v>841</v>
      </c>
    </row>
    <row r="231" customFormat="false" ht="13.5" hidden="false" customHeight="true" outlineLevel="0" collapsed="false">
      <c r="A231" s="1" t="s">
        <v>842</v>
      </c>
      <c r="B231" s="1" t="s">
        <v>843</v>
      </c>
      <c r="C231" s="1" t="s">
        <v>844</v>
      </c>
      <c r="D231" s="3" t="n">
        <f aca="false">ROUND((Data!C231-Data!E231)/Data!C231*100,2)</f>
        <v>34.47</v>
      </c>
      <c r="E231" s="1" t="n">
        <v>14.04</v>
      </c>
      <c r="F231" s="1" t="n">
        <v>15.39</v>
      </c>
      <c r="G231" s="1" t="n">
        <v>1.35</v>
      </c>
      <c r="H231" s="1" t="n">
        <v>9.62</v>
      </c>
      <c r="I231" s="1" t="s">
        <v>13</v>
      </c>
      <c r="J231" s="1" t="s">
        <v>845</v>
      </c>
    </row>
    <row r="232" customFormat="false" ht="13.5" hidden="false" customHeight="true" outlineLevel="0" collapsed="false">
      <c r="A232" s="1" t="s">
        <v>846</v>
      </c>
      <c r="B232" s="1" t="s">
        <v>847</v>
      </c>
      <c r="C232" s="1" t="s">
        <v>848</v>
      </c>
      <c r="D232" s="3" t="n">
        <f aca="false">ROUND((Data!C232-Data!E232)/Data!C232*100,2)</f>
        <v>41.93</v>
      </c>
      <c r="E232" s="1" t="n">
        <v>27.56</v>
      </c>
      <c r="F232" s="1" t="n">
        <v>30.2</v>
      </c>
      <c r="G232" s="1" t="n">
        <v>2.64</v>
      </c>
      <c r="H232" s="1" t="n">
        <v>9.58</v>
      </c>
      <c r="I232" s="1" t="s">
        <v>13</v>
      </c>
      <c r="J232" s="1" t="s">
        <v>849</v>
      </c>
    </row>
    <row r="233" customFormat="false" ht="13.5" hidden="false" customHeight="true" outlineLevel="0" collapsed="false">
      <c r="A233" s="1" t="s">
        <v>570</v>
      </c>
      <c r="B233" s="1" t="s">
        <v>850</v>
      </c>
      <c r="C233" s="1" t="s">
        <v>851</v>
      </c>
      <c r="D233" s="3" t="n">
        <f aca="false">ROUND((Data!C233-Data!E233)/Data!C233*100,2)</f>
        <v>36.59</v>
      </c>
      <c r="E233" s="1" t="n">
        <v>39.52</v>
      </c>
      <c r="F233" s="1" t="n">
        <v>43.29</v>
      </c>
      <c r="G233" s="1" t="n">
        <v>3.77</v>
      </c>
      <c r="H233" s="1" t="n">
        <v>9.54</v>
      </c>
      <c r="I233" s="1" t="s">
        <v>13</v>
      </c>
      <c r="J233" s="1" t="s">
        <v>852</v>
      </c>
    </row>
    <row r="234" customFormat="false" ht="13.5" hidden="false" customHeight="true" outlineLevel="0" collapsed="false">
      <c r="A234" s="1" t="s">
        <v>853</v>
      </c>
      <c r="B234" s="1" t="s">
        <v>854</v>
      </c>
      <c r="C234" s="1" t="s">
        <v>855</v>
      </c>
      <c r="D234" s="3" t="n">
        <f aca="false">ROUND((Data!C234-Data!E234)/Data!C234*100,2)</f>
        <v>33.47</v>
      </c>
      <c r="E234" s="1" t="n">
        <v>687</v>
      </c>
      <c r="F234" s="1" t="n">
        <v>751.99</v>
      </c>
      <c r="G234" s="1" t="n">
        <v>64.99</v>
      </c>
      <c r="H234" s="1" t="n">
        <v>9.46</v>
      </c>
      <c r="I234" s="1" t="s">
        <v>13</v>
      </c>
      <c r="J234" s="1" t="s">
        <v>856</v>
      </c>
    </row>
    <row r="235" customFormat="false" ht="13.5" hidden="false" customHeight="true" outlineLevel="0" collapsed="false">
      <c r="A235" s="1" t="s">
        <v>743</v>
      </c>
      <c r="B235" s="1" t="s">
        <v>857</v>
      </c>
      <c r="C235" s="1" t="s">
        <v>858</v>
      </c>
      <c r="D235" s="3" t="n">
        <f aca="false">ROUND((Data!C235-Data!E235)/Data!C235*100,2)</f>
        <v>48.41</v>
      </c>
      <c r="E235" s="1" t="n">
        <v>23.93</v>
      </c>
      <c r="F235" s="1" t="n">
        <v>26.15</v>
      </c>
      <c r="G235" s="1" t="n">
        <v>2.22</v>
      </c>
      <c r="H235" s="1" t="n">
        <v>9.28</v>
      </c>
      <c r="I235" s="1" t="s">
        <v>13</v>
      </c>
      <c r="J235" s="1" t="s">
        <v>859</v>
      </c>
    </row>
    <row r="236" customFormat="false" ht="13.5" hidden="false" customHeight="true" outlineLevel="0" collapsed="false">
      <c r="A236" s="1" t="s">
        <v>860</v>
      </c>
      <c r="B236" s="1" t="s">
        <v>861</v>
      </c>
      <c r="C236" s="1" t="s">
        <v>862</v>
      </c>
      <c r="D236" s="3" t="n">
        <f aca="false">ROUND((Data!C236-Data!E236)/Data!C236*100,2)</f>
        <v>23.9</v>
      </c>
      <c r="E236" s="1" t="n">
        <v>45.28</v>
      </c>
      <c r="F236" s="1" t="n">
        <v>49.48</v>
      </c>
      <c r="G236" s="1" t="n">
        <v>4.2</v>
      </c>
      <c r="H236" s="1" t="n">
        <v>9.28</v>
      </c>
      <c r="I236" s="1" t="s">
        <v>13</v>
      </c>
      <c r="J236" s="1" t="s">
        <v>863</v>
      </c>
    </row>
    <row r="237" customFormat="false" ht="13.5" hidden="false" customHeight="true" outlineLevel="0" collapsed="false">
      <c r="A237" s="1" t="s">
        <v>864</v>
      </c>
      <c r="B237" s="1" t="s">
        <v>865</v>
      </c>
      <c r="C237" s="1" t="s">
        <v>866</v>
      </c>
      <c r="D237" s="3" t="n">
        <f aca="false">ROUND((Data!C237-Data!E237)/Data!C237*100,2)</f>
        <v>43.03</v>
      </c>
      <c r="E237" s="1" t="n">
        <v>25.29</v>
      </c>
      <c r="F237" s="1" t="n">
        <v>27.63</v>
      </c>
      <c r="G237" s="1" t="n">
        <v>2.34</v>
      </c>
      <c r="H237" s="1" t="n">
        <v>9.25</v>
      </c>
      <c r="I237" s="1" t="s">
        <v>13</v>
      </c>
      <c r="J237" s="1" t="s">
        <v>867</v>
      </c>
    </row>
    <row r="238" customFormat="false" ht="13.5" hidden="false" customHeight="true" outlineLevel="0" collapsed="false">
      <c r="A238" s="1" t="s">
        <v>868</v>
      </c>
      <c r="B238" s="1" t="s">
        <v>869</v>
      </c>
      <c r="C238" s="1" t="s">
        <v>870</v>
      </c>
      <c r="D238" s="3" t="n">
        <f aca="false">ROUND((Data!C238-Data!E238)/Data!C238*100,2)</f>
        <v>26.76</v>
      </c>
      <c r="E238" s="1" t="n">
        <v>188</v>
      </c>
      <c r="F238" s="1" t="n">
        <v>205.32</v>
      </c>
      <c r="G238" s="1" t="n">
        <v>17.32</v>
      </c>
      <c r="H238" s="1" t="n">
        <v>9.21</v>
      </c>
      <c r="I238" s="1" t="s">
        <v>13</v>
      </c>
      <c r="J238" s="1" t="s">
        <v>871</v>
      </c>
    </row>
    <row r="239" customFormat="false" ht="13.5" hidden="false" customHeight="true" outlineLevel="0" collapsed="false">
      <c r="A239" s="1" t="s">
        <v>465</v>
      </c>
      <c r="B239" s="1" t="s">
        <v>872</v>
      </c>
      <c r="C239" s="1" t="s">
        <v>873</v>
      </c>
      <c r="D239" s="3" t="n">
        <f aca="false">ROUND((Data!C239-Data!E239)/Data!C239*100,2)</f>
        <v>47.59</v>
      </c>
      <c r="E239" s="1" t="n">
        <v>137.9</v>
      </c>
      <c r="F239" s="1" t="n">
        <v>150.55</v>
      </c>
      <c r="G239" s="1" t="n">
        <v>12.65</v>
      </c>
      <c r="H239" s="1" t="n">
        <v>9.17</v>
      </c>
      <c r="I239" s="1" t="s">
        <v>13</v>
      </c>
      <c r="J239" s="1" t="s">
        <v>874</v>
      </c>
    </row>
    <row r="240" customFormat="false" ht="13.5" hidden="false" customHeight="true" outlineLevel="0" collapsed="false">
      <c r="A240" s="1" t="s">
        <v>875</v>
      </c>
      <c r="B240" s="1" t="s">
        <v>876</v>
      </c>
      <c r="C240" s="1" t="s">
        <v>877</v>
      </c>
      <c r="D240" s="3" t="n">
        <f aca="false">ROUND((Data!C240-Data!E240)/Data!C240*100,2)</f>
        <v>33.1</v>
      </c>
      <c r="E240" s="1" t="n">
        <v>102.7</v>
      </c>
      <c r="F240" s="1" t="n">
        <v>112.06</v>
      </c>
      <c r="G240" s="1" t="n">
        <v>9.36</v>
      </c>
      <c r="H240" s="1" t="n">
        <v>9.11</v>
      </c>
      <c r="I240" s="1" t="s">
        <v>13</v>
      </c>
      <c r="J240" s="1" t="s">
        <v>878</v>
      </c>
    </row>
    <row r="241" customFormat="false" ht="13.5" hidden="false" customHeight="true" outlineLevel="0" collapsed="false">
      <c r="A241" s="1" t="s">
        <v>418</v>
      </c>
      <c r="B241" s="1" t="s">
        <v>879</v>
      </c>
      <c r="C241" s="1" t="s">
        <v>880</v>
      </c>
      <c r="D241" s="3" t="n">
        <f aca="false">ROUND((Data!C241-Data!E241)/Data!C241*100,2)</f>
        <v>38.24</v>
      </c>
      <c r="E241" s="1" t="n">
        <v>259.64</v>
      </c>
      <c r="F241" s="1" t="n">
        <v>283.21</v>
      </c>
      <c r="G241" s="1" t="n">
        <v>23.57</v>
      </c>
      <c r="H241" s="1" t="n">
        <v>9.08</v>
      </c>
      <c r="I241" s="1" t="s">
        <v>13</v>
      </c>
      <c r="J241" s="1" t="s">
        <v>881</v>
      </c>
    </row>
    <row r="242" customFormat="false" ht="13.5" hidden="false" customHeight="true" outlineLevel="0" collapsed="false">
      <c r="A242" s="1" t="s">
        <v>882</v>
      </c>
      <c r="B242" s="1" t="s">
        <v>883</v>
      </c>
      <c r="C242" s="1" t="s">
        <v>884</v>
      </c>
      <c r="D242" s="3" t="n">
        <f aca="false">ROUND((Data!C242-Data!E242)/Data!C242*100,2)</f>
        <v>55.67</v>
      </c>
      <c r="E242" s="1" t="n">
        <v>81.2</v>
      </c>
      <c r="F242" s="1" t="n">
        <v>88.5</v>
      </c>
      <c r="G242" s="1" t="n">
        <v>7.3</v>
      </c>
      <c r="H242" s="1" t="n">
        <v>8.99</v>
      </c>
      <c r="I242" s="1" t="s">
        <v>13</v>
      </c>
      <c r="J242" s="1" t="s">
        <v>885</v>
      </c>
    </row>
    <row r="243" customFormat="false" ht="13.5" hidden="false" customHeight="true" outlineLevel="0" collapsed="false">
      <c r="A243" s="1" t="s">
        <v>886</v>
      </c>
      <c r="B243" s="1" t="s">
        <v>887</v>
      </c>
      <c r="C243" s="1" t="s">
        <v>888</v>
      </c>
      <c r="D243" s="3" t="n">
        <f aca="false">ROUND((Data!C243-Data!E243)/Data!C243*100,2)</f>
        <v>37.34</v>
      </c>
      <c r="E243" s="1" t="n">
        <v>34.89</v>
      </c>
      <c r="F243" s="1" t="n">
        <v>38</v>
      </c>
      <c r="G243" s="1" t="n">
        <v>3.11</v>
      </c>
      <c r="H243" s="1" t="n">
        <v>8.91</v>
      </c>
      <c r="I243" s="1" t="s">
        <v>13</v>
      </c>
      <c r="J243" s="1" t="s">
        <v>889</v>
      </c>
    </row>
    <row r="244" customFormat="false" ht="13.5" hidden="false" customHeight="true" outlineLevel="0" collapsed="false">
      <c r="A244" s="1" t="s">
        <v>358</v>
      </c>
      <c r="B244" s="1" t="s">
        <v>890</v>
      </c>
      <c r="C244" s="1" t="s">
        <v>891</v>
      </c>
      <c r="D244" s="3" t="n">
        <f aca="false">ROUND((Data!C244-Data!E244)/Data!C244*100,2)</f>
        <v>38.87</v>
      </c>
      <c r="E244" s="1" t="n">
        <v>28.7</v>
      </c>
      <c r="F244" s="1" t="n">
        <v>31.25</v>
      </c>
      <c r="G244" s="1" t="n">
        <v>2.55</v>
      </c>
      <c r="H244" s="1" t="n">
        <v>8.89</v>
      </c>
      <c r="I244" s="1" t="s">
        <v>13</v>
      </c>
      <c r="J244" s="1" t="s">
        <v>892</v>
      </c>
    </row>
    <row r="245" customFormat="false" ht="13.5" hidden="false" customHeight="true" outlineLevel="0" collapsed="false">
      <c r="A245" s="1" t="s">
        <v>893</v>
      </c>
      <c r="B245" s="1" t="s">
        <v>894</v>
      </c>
      <c r="C245" s="1" t="s">
        <v>895</v>
      </c>
      <c r="D245" s="3" t="n">
        <f aca="false">ROUND((Data!C245-Data!E245)/Data!C245*100,2)</f>
        <v>58.78</v>
      </c>
      <c r="E245" s="1" t="n">
        <v>145.79</v>
      </c>
      <c r="F245" s="1" t="n">
        <v>158.69</v>
      </c>
      <c r="G245" s="1" t="n">
        <v>12.9</v>
      </c>
      <c r="H245" s="1" t="n">
        <v>8.85</v>
      </c>
      <c r="I245" s="1" t="s">
        <v>13</v>
      </c>
      <c r="J245" s="1" t="s">
        <v>896</v>
      </c>
    </row>
    <row r="246" customFormat="false" ht="13.5" hidden="false" customHeight="true" outlineLevel="0" collapsed="false">
      <c r="A246" s="1" t="s">
        <v>897</v>
      </c>
      <c r="B246" s="1" t="s">
        <v>898</v>
      </c>
      <c r="C246" s="1" t="s">
        <v>899</v>
      </c>
      <c r="D246" s="3" t="n">
        <f aca="false">ROUND((Data!C246-Data!E246)/Data!C246*100,2)</f>
        <v>27.5</v>
      </c>
      <c r="E246" s="1" t="n">
        <v>38.33</v>
      </c>
      <c r="F246" s="1" t="n">
        <v>41.71</v>
      </c>
      <c r="G246" s="1" t="n">
        <v>3.38</v>
      </c>
      <c r="H246" s="1" t="n">
        <v>8.82</v>
      </c>
      <c r="I246" s="1" t="s">
        <v>13</v>
      </c>
      <c r="J246" s="1" t="s">
        <v>900</v>
      </c>
    </row>
    <row r="247" customFormat="false" ht="13.5" hidden="false" customHeight="true" outlineLevel="0" collapsed="false">
      <c r="A247" s="1" t="s">
        <v>901</v>
      </c>
      <c r="B247" s="1" t="s">
        <v>902</v>
      </c>
      <c r="C247" s="1" t="s">
        <v>903</v>
      </c>
      <c r="D247" s="3" t="n">
        <f aca="false">ROUND((Data!C247-Data!E247)/Data!C247*100,2)</f>
        <v>37.3</v>
      </c>
      <c r="E247" s="1" t="n">
        <v>33.72</v>
      </c>
      <c r="F247" s="1" t="n">
        <v>36.66</v>
      </c>
      <c r="G247" s="1" t="n">
        <v>2.94</v>
      </c>
      <c r="H247" s="1" t="n">
        <v>8.72</v>
      </c>
      <c r="I247" s="1" t="s">
        <v>13</v>
      </c>
      <c r="J247" s="1" t="s">
        <v>904</v>
      </c>
    </row>
    <row r="248" customFormat="false" ht="13.5" hidden="false" customHeight="true" outlineLevel="0" collapsed="false">
      <c r="A248" s="1" t="s">
        <v>905</v>
      </c>
      <c r="B248" s="1" t="s">
        <v>906</v>
      </c>
      <c r="C248" s="1" t="s">
        <v>907</v>
      </c>
      <c r="D248" s="3" t="n">
        <f aca="false">ROUND((Data!C248-Data!E248)/Data!C248*100,2)</f>
        <v>40.7</v>
      </c>
      <c r="E248" s="1" t="n">
        <v>49.34</v>
      </c>
      <c r="F248" s="1" t="n">
        <v>53.6</v>
      </c>
      <c r="G248" s="1" t="n">
        <v>4.26</v>
      </c>
      <c r="H248" s="1" t="n">
        <v>8.63</v>
      </c>
      <c r="I248" s="1" t="s">
        <v>13</v>
      </c>
      <c r="J248" s="1" t="s">
        <v>908</v>
      </c>
    </row>
    <row r="249" customFormat="false" ht="13.5" hidden="false" customHeight="true" outlineLevel="0" collapsed="false">
      <c r="A249" s="1" t="s">
        <v>909</v>
      </c>
      <c r="B249" s="1" t="s">
        <v>910</v>
      </c>
      <c r="C249" s="1" t="s">
        <v>911</v>
      </c>
      <c r="D249" s="3" t="n">
        <f aca="false">ROUND((Data!C249-Data!E249)/Data!C249*100,2)</f>
        <v>34.11</v>
      </c>
      <c r="E249" s="1" t="n">
        <v>71.81</v>
      </c>
      <c r="F249" s="1" t="n">
        <v>77.99</v>
      </c>
      <c r="G249" s="1" t="n">
        <v>6.18</v>
      </c>
      <c r="H249" s="1" t="n">
        <v>8.61</v>
      </c>
      <c r="I249" s="1" t="s">
        <v>13</v>
      </c>
      <c r="J249" s="1" t="s">
        <v>912</v>
      </c>
    </row>
    <row r="250" customFormat="false" ht="13.5" hidden="false" customHeight="true" outlineLevel="0" collapsed="false">
      <c r="A250" s="1" t="s">
        <v>868</v>
      </c>
      <c r="B250" s="1" t="s">
        <v>913</v>
      </c>
      <c r="C250" s="1" t="s">
        <v>914</v>
      </c>
      <c r="D250" s="3" t="n">
        <f aca="false">ROUND((Data!C250-Data!E250)/Data!C250*100,2)</f>
        <v>38.28</v>
      </c>
      <c r="E250" s="1" t="n">
        <v>113.07</v>
      </c>
      <c r="F250" s="1" t="n">
        <v>122.7</v>
      </c>
      <c r="G250" s="1" t="n">
        <v>9.63</v>
      </c>
      <c r="H250" s="1" t="n">
        <v>8.52</v>
      </c>
      <c r="I250" s="1" t="s">
        <v>13</v>
      </c>
      <c r="J250" s="1" t="s">
        <v>915</v>
      </c>
    </row>
    <row r="251" customFormat="false" ht="13.5" hidden="false" customHeight="true" outlineLevel="0" collapsed="false">
      <c r="A251" s="1" t="s">
        <v>916</v>
      </c>
      <c r="B251" s="1" t="s">
        <v>917</v>
      </c>
      <c r="C251" s="1" t="s">
        <v>918</v>
      </c>
      <c r="D251" s="3" t="n">
        <f aca="false">ROUND((Data!C251-Data!E251)/Data!C251*100,2)</f>
        <v>37.6</v>
      </c>
      <c r="E251" s="1" t="n">
        <v>1106</v>
      </c>
      <c r="F251" s="1" t="n">
        <v>1199.93</v>
      </c>
      <c r="G251" s="1" t="n">
        <v>93.93</v>
      </c>
      <c r="H251" s="1" t="n">
        <v>8.49</v>
      </c>
      <c r="I251" s="1" t="s">
        <v>13</v>
      </c>
      <c r="J251" s="1" t="s">
        <v>919</v>
      </c>
    </row>
    <row r="252" customFormat="false" ht="13.5" hidden="false" customHeight="true" outlineLevel="0" collapsed="false">
      <c r="A252" s="1" t="s">
        <v>782</v>
      </c>
      <c r="B252" s="1" t="s">
        <v>920</v>
      </c>
      <c r="C252" s="1" t="s">
        <v>921</v>
      </c>
      <c r="D252" s="3" t="n">
        <f aca="false">ROUND((Data!C252-Data!E252)/Data!C252*100,2)</f>
        <v>62.09</v>
      </c>
      <c r="E252" s="1" t="n">
        <v>225.99</v>
      </c>
      <c r="F252" s="1" t="n">
        <v>244.88</v>
      </c>
      <c r="G252" s="1" t="n">
        <v>18.89</v>
      </c>
      <c r="H252" s="1" t="n">
        <v>8.36</v>
      </c>
      <c r="I252" s="1" t="s">
        <v>13</v>
      </c>
      <c r="J252" s="1" t="s">
        <v>922</v>
      </c>
    </row>
    <row r="253" customFormat="false" ht="13.5" hidden="false" customHeight="true" outlineLevel="0" collapsed="false">
      <c r="A253" s="1" t="s">
        <v>923</v>
      </c>
      <c r="B253" s="1" t="s">
        <v>924</v>
      </c>
      <c r="C253" s="1" t="s">
        <v>925</v>
      </c>
      <c r="D253" s="3" t="n">
        <f aca="false">ROUND((Data!C253-Data!E253)/Data!C253*100,2)</f>
        <v>33.43</v>
      </c>
      <c r="E253" s="1" t="n">
        <v>87.4</v>
      </c>
      <c r="F253" s="1" t="n">
        <v>94.69</v>
      </c>
      <c r="G253" s="1" t="n">
        <v>7.29</v>
      </c>
      <c r="H253" s="1" t="n">
        <v>8.34</v>
      </c>
      <c r="I253" s="1" t="s">
        <v>13</v>
      </c>
      <c r="J253" s="1" t="s">
        <v>926</v>
      </c>
    </row>
    <row r="254" customFormat="false" ht="13.5" hidden="false" customHeight="true" outlineLevel="0" collapsed="false">
      <c r="A254" s="1" t="s">
        <v>570</v>
      </c>
      <c r="B254" s="1" t="s">
        <v>927</v>
      </c>
      <c r="C254" s="1" t="s">
        <v>928</v>
      </c>
      <c r="D254" s="3" t="n">
        <f aca="false">ROUND((Data!C254-Data!E254)/Data!C254*100,2)</f>
        <v>35.17</v>
      </c>
      <c r="E254" s="1" t="n">
        <v>60.3</v>
      </c>
      <c r="F254" s="1" t="n">
        <v>65.3</v>
      </c>
      <c r="G254" s="1" t="n">
        <v>5</v>
      </c>
      <c r="H254" s="1" t="n">
        <v>8.29</v>
      </c>
      <c r="I254" s="1" t="s">
        <v>13</v>
      </c>
      <c r="J254" s="1" t="s">
        <v>929</v>
      </c>
    </row>
    <row r="255" customFormat="false" ht="13.5" hidden="false" customHeight="true" outlineLevel="0" collapsed="false">
      <c r="A255" s="1" t="s">
        <v>930</v>
      </c>
      <c r="B255" s="1" t="s">
        <v>931</v>
      </c>
      <c r="C255" s="1" t="s">
        <v>932</v>
      </c>
      <c r="D255" s="3" t="n">
        <f aca="false">ROUND((Data!C255-Data!E255)/Data!C255*100,2)</f>
        <v>50.12</v>
      </c>
      <c r="E255" s="1" t="n">
        <v>14.48</v>
      </c>
      <c r="F255" s="1" t="n">
        <v>15.68</v>
      </c>
      <c r="G255" s="1" t="n">
        <v>1.2</v>
      </c>
      <c r="H255" s="1" t="n">
        <v>8.29</v>
      </c>
      <c r="I255" s="1" t="s">
        <v>13</v>
      </c>
      <c r="J255" s="1" t="s">
        <v>933</v>
      </c>
    </row>
    <row r="256" customFormat="false" ht="13.5" hidden="false" customHeight="true" outlineLevel="0" collapsed="false">
      <c r="A256" s="1" t="s">
        <v>377</v>
      </c>
      <c r="B256" s="1" t="s">
        <v>934</v>
      </c>
      <c r="C256" s="1" t="s">
        <v>935</v>
      </c>
      <c r="D256" s="3" t="n">
        <f aca="false">ROUND((Data!C256-Data!E256)/Data!C256*100,2)</f>
        <v>41.09</v>
      </c>
      <c r="E256" s="1" t="n">
        <v>22.34</v>
      </c>
      <c r="F256" s="1" t="n">
        <v>24.18</v>
      </c>
      <c r="G256" s="1" t="n">
        <v>1.84</v>
      </c>
      <c r="H256" s="1" t="n">
        <v>8.24</v>
      </c>
      <c r="I256" s="1" t="s">
        <v>13</v>
      </c>
      <c r="J256" s="1" t="s">
        <v>936</v>
      </c>
    </row>
    <row r="257" customFormat="false" ht="13.5" hidden="false" customHeight="true" outlineLevel="0" collapsed="false">
      <c r="A257" s="1" t="s">
        <v>937</v>
      </c>
      <c r="B257" s="1" t="s">
        <v>938</v>
      </c>
      <c r="C257" s="1" t="s">
        <v>939</v>
      </c>
      <c r="D257" s="3" t="n">
        <f aca="false">ROUND((Data!C257-Data!E257)/Data!C257*100,2)</f>
        <v>47.84</v>
      </c>
      <c r="E257" s="1" t="n">
        <v>9.28</v>
      </c>
      <c r="F257" s="1" t="n">
        <v>10.04</v>
      </c>
      <c r="G257" s="1" t="n">
        <v>0.76</v>
      </c>
      <c r="H257" s="1" t="n">
        <v>8.19</v>
      </c>
      <c r="I257" s="1" t="s">
        <v>13</v>
      </c>
      <c r="J257" s="1" t="s">
        <v>940</v>
      </c>
    </row>
    <row r="258" customFormat="false" ht="13.5" hidden="false" customHeight="true" outlineLevel="0" collapsed="false">
      <c r="A258" s="1" t="s">
        <v>941</v>
      </c>
      <c r="B258" s="1" t="s">
        <v>942</v>
      </c>
      <c r="C258" s="1" t="s">
        <v>943</v>
      </c>
      <c r="D258" s="3" t="n">
        <f aca="false">ROUND((Data!C258-Data!E258)/Data!C258*100,2)</f>
        <v>43.97</v>
      </c>
      <c r="E258" s="1" t="n">
        <v>56.89</v>
      </c>
      <c r="F258" s="1" t="n">
        <v>61.55</v>
      </c>
      <c r="G258" s="1" t="n">
        <v>4.66</v>
      </c>
      <c r="H258" s="1" t="n">
        <v>8.19</v>
      </c>
      <c r="I258" s="1" t="s">
        <v>13</v>
      </c>
      <c r="J258" s="1" t="s">
        <v>944</v>
      </c>
    </row>
    <row r="259" customFormat="false" ht="13.5" hidden="false" customHeight="true" outlineLevel="0" collapsed="false">
      <c r="A259" s="1" t="s">
        <v>945</v>
      </c>
      <c r="B259" s="1" t="s">
        <v>946</v>
      </c>
      <c r="C259" s="1" t="s">
        <v>947</v>
      </c>
      <c r="D259" s="3" t="n">
        <f aca="false">ROUND((Data!C259-Data!E259)/Data!C259*100,2)</f>
        <v>37.47</v>
      </c>
      <c r="E259" s="1" t="n">
        <v>46.65</v>
      </c>
      <c r="F259" s="1" t="n">
        <v>50.38</v>
      </c>
      <c r="G259" s="1" t="n">
        <v>3.73</v>
      </c>
      <c r="H259" s="1" t="n">
        <v>8</v>
      </c>
      <c r="I259" s="1" t="s">
        <v>13</v>
      </c>
      <c r="J259" s="1" t="s">
        <v>948</v>
      </c>
    </row>
    <row r="260" customFormat="false" ht="13.5" hidden="false" customHeight="true" outlineLevel="0" collapsed="false">
      <c r="A260" s="1" t="s">
        <v>937</v>
      </c>
      <c r="B260" s="1" t="s">
        <v>949</v>
      </c>
      <c r="C260" s="1" t="s">
        <v>950</v>
      </c>
      <c r="D260" s="3" t="n">
        <f aca="false">ROUND((Data!C260-Data!E260)/Data!C260*100,2)</f>
        <v>41.57</v>
      </c>
      <c r="E260" s="1" t="n">
        <v>16.68</v>
      </c>
      <c r="F260" s="1" t="n">
        <v>18</v>
      </c>
      <c r="G260" s="1" t="n">
        <v>1.32</v>
      </c>
      <c r="H260" s="1" t="n">
        <v>7.91</v>
      </c>
      <c r="I260" s="1" t="s">
        <v>13</v>
      </c>
      <c r="J260" s="1" t="s">
        <v>951</v>
      </c>
    </row>
    <row r="261" customFormat="false" ht="13.5" hidden="false" customHeight="true" outlineLevel="0" collapsed="false">
      <c r="A261" s="1" t="s">
        <v>952</v>
      </c>
      <c r="B261" s="1" t="s">
        <v>953</v>
      </c>
      <c r="C261" s="1" t="s">
        <v>954</v>
      </c>
      <c r="D261" s="3" t="n">
        <f aca="false">ROUND((Data!C261-Data!E261)/Data!C261*100,2)</f>
        <v>45.88</v>
      </c>
      <c r="E261" s="1" t="n">
        <v>64.3</v>
      </c>
      <c r="F261" s="1" t="n">
        <v>69.33</v>
      </c>
      <c r="G261" s="1" t="n">
        <v>5.03</v>
      </c>
      <c r="H261" s="1" t="n">
        <v>7.82</v>
      </c>
      <c r="I261" s="1" t="s">
        <v>13</v>
      </c>
      <c r="J261" s="1" t="s">
        <v>955</v>
      </c>
    </row>
    <row r="262" customFormat="false" ht="13.5" hidden="false" customHeight="true" outlineLevel="0" collapsed="false">
      <c r="A262" s="1" t="s">
        <v>484</v>
      </c>
      <c r="B262" s="1" t="s">
        <v>956</v>
      </c>
      <c r="C262" s="1" t="s">
        <v>957</v>
      </c>
      <c r="D262" s="3" t="n">
        <f aca="false">ROUND((Data!C262-Data!E262)/Data!C262*100,2)</f>
        <v>42.96</v>
      </c>
      <c r="E262" s="1" t="n">
        <v>50.53</v>
      </c>
      <c r="F262" s="1" t="n">
        <v>54.39</v>
      </c>
      <c r="G262" s="1" t="n">
        <v>3.86</v>
      </c>
      <c r="H262" s="1" t="n">
        <v>7.64</v>
      </c>
      <c r="I262" s="1" t="s">
        <v>13</v>
      </c>
      <c r="J262" s="1" t="s">
        <v>958</v>
      </c>
    </row>
    <row r="263" customFormat="false" ht="13.5" hidden="false" customHeight="true" outlineLevel="0" collapsed="false">
      <c r="A263" s="1" t="s">
        <v>959</v>
      </c>
      <c r="B263" s="1" t="s">
        <v>960</v>
      </c>
      <c r="C263" s="1" t="s">
        <v>961</v>
      </c>
      <c r="D263" s="3" t="n">
        <f aca="false">ROUND((Data!C263-Data!E263)/Data!C263*100,2)</f>
        <v>45.57</v>
      </c>
      <c r="E263" s="1" t="n">
        <v>26.66</v>
      </c>
      <c r="F263" s="1" t="n">
        <v>28.68</v>
      </c>
      <c r="G263" s="1" t="n">
        <v>2.02</v>
      </c>
      <c r="H263" s="1" t="n">
        <v>7.58</v>
      </c>
      <c r="I263" s="1" t="s">
        <v>13</v>
      </c>
      <c r="J263" s="1" t="s">
        <v>962</v>
      </c>
    </row>
    <row r="264" customFormat="false" ht="13.5" hidden="false" customHeight="true" outlineLevel="0" collapsed="false">
      <c r="A264" s="1" t="s">
        <v>260</v>
      </c>
      <c r="B264" s="1" t="s">
        <v>963</v>
      </c>
      <c r="C264" s="1" t="s">
        <v>964</v>
      </c>
      <c r="D264" s="3" t="n">
        <f aca="false">ROUND((Data!C264-Data!E264)/Data!C264*100,2)</f>
        <v>37.47</v>
      </c>
      <c r="E264" s="1" t="n">
        <v>38.44</v>
      </c>
      <c r="F264" s="1" t="n">
        <v>41.31</v>
      </c>
      <c r="G264" s="1" t="n">
        <v>2.87</v>
      </c>
      <c r="H264" s="1" t="n">
        <v>7.47</v>
      </c>
      <c r="I264" s="1" t="s">
        <v>13</v>
      </c>
      <c r="J264" s="1" t="s">
        <v>965</v>
      </c>
    </row>
    <row r="265" customFormat="false" ht="13.5" hidden="false" customHeight="true" outlineLevel="0" collapsed="false">
      <c r="A265" s="1" t="s">
        <v>966</v>
      </c>
      <c r="B265" s="1" t="s">
        <v>967</v>
      </c>
      <c r="C265" s="1" t="s">
        <v>968</v>
      </c>
      <c r="D265" s="3" t="n">
        <f aca="false">ROUND((Data!C265-Data!E265)/Data!C265*100,2)</f>
        <v>28.21</v>
      </c>
      <c r="E265" s="1" t="n">
        <v>35.1</v>
      </c>
      <c r="F265" s="1" t="n">
        <v>37.67</v>
      </c>
      <c r="G265" s="1" t="n">
        <v>2.57</v>
      </c>
      <c r="H265" s="1" t="n">
        <v>7.32</v>
      </c>
      <c r="I265" s="1" t="s">
        <v>13</v>
      </c>
      <c r="J265" s="1" t="s">
        <v>969</v>
      </c>
    </row>
    <row r="266" customFormat="false" ht="13.5" hidden="false" customHeight="true" outlineLevel="0" collapsed="false">
      <c r="A266" s="1" t="s">
        <v>169</v>
      </c>
      <c r="B266" s="1" t="s">
        <v>970</v>
      </c>
      <c r="C266" s="1" t="s">
        <v>971</v>
      </c>
      <c r="D266" s="3" t="n">
        <f aca="false">ROUND((Data!C266-Data!E266)/Data!C266*100,2)</f>
        <v>38.85</v>
      </c>
      <c r="E266" s="1" t="n">
        <v>51.85</v>
      </c>
      <c r="F266" s="1" t="n">
        <v>55.63</v>
      </c>
      <c r="G266" s="1" t="n">
        <v>3.78</v>
      </c>
      <c r="H266" s="1" t="n">
        <v>7.29</v>
      </c>
      <c r="I266" s="1" t="s">
        <v>13</v>
      </c>
      <c r="J266" s="1" t="s">
        <v>972</v>
      </c>
    </row>
    <row r="267" customFormat="false" ht="13.5" hidden="false" customHeight="true" outlineLevel="0" collapsed="false">
      <c r="A267" s="1" t="s">
        <v>973</v>
      </c>
      <c r="B267" s="1" t="s">
        <v>974</v>
      </c>
      <c r="C267" s="1" t="s">
        <v>975</v>
      </c>
      <c r="D267" s="3" t="n">
        <f aca="false">ROUND((Data!C267-Data!E267)/Data!C267*100,2)</f>
        <v>42</v>
      </c>
      <c r="E267" s="1" t="n">
        <v>48.1</v>
      </c>
      <c r="F267" s="1" t="n">
        <v>51.56</v>
      </c>
      <c r="G267" s="1" t="n">
        <v>3.46</v>
      </c>
      <c r="H267" s="1" t="n">
        <v>7.19</v>
      </c>
      <c r="I267" s="1" t="s">
        <v>13</v>
      </c>
      <c r="J267" s="1" t="s">
        <v>976</v>
      </c>
    </row>
    <row r="268" customFormat="false" ht="13.5" hidden="false" customHeight="true" outlineLevel="0" collapsed="false">
      <c r="A268" s="1" t="s">
        <v>977</v>
      </c>
      <c r="B268" s="1" t="s">
        <v>978</v>
      </c>
      <c r="C268" s="1" t="s">
        <v>979</v>
      </c>
      <c r="D268" s="3" t="n">
        <f aca="false">ROUND((Data!C268-Data!E268)/Data!C268*100,2)</f>
        <v>32.49</v>
      </c>
      <c r="E268" s="1" t="n">
        <v>20.09</v>
      </c>
      <c r="F268" s="1" t="n">
        <v>21.53</v>
      </c>
      <c r="G268" s="1" t="n">
        <v>1.44</v>
      </c>
      <c r="H268" s="1" t="n">
        <v>7.17</v>
      </c>
      <c r="I268" s="1" t="s">
        <v>13</v>
      </c>
      <c r="J268" s="1" t="s">
        <v>980</v>
      </c>
    </row>
    <row r="269" customFormat="false" ht="13.5" hidden="false" customHeight="true" outlineLevel="0" collapsed="false">
      <c r="A269" s="1" t="s">
        <v>981</v>
      </c>
      <c r="B269" s="1" t="s">
        <v>982</v>
      </c>
      <c r="C269" s="1" t="s">
        <v>983</v>
      </c>
      <c r="D269" s="3" t="n">
        <f aca="false">ROUND((Data!C269-Data!E269)/Data!C269*100,2)</f>
        <v>35.19</v>
      </c>
      <c r="E269" s="1" t="n">
        <v>32.9</v>
      </c>
      <c r="F269" s="1" t="n">
        <v>35.26</v>
      </c>
      <c r="G269" s="1" t="n">
        <v>2.36</v>
      </c>
      <c r="H269" s="1" t="n">
        <v>7.17</v>
      </c>
      <c r="I269" s="1" t="s">
        <v>13</v>
      </c>
      <c r="J269" s="1" t="s">
        <v>984</v>
      </c>
    </row>
    <row r="270" customFormat="false" ht="13.5" hidden="false" customHeight="true" outlineLevel="0" collapsed="false">
      <c r="A270" s="1" t="s">
        <v>85</v>
      </c>
      <c r="B270" s="1" t="s">
        <v>985</v>
      </c>
      <c r="C270" s="1" t="s">
        <v>986</v>
      </c>
      <c r="D270" s="3" t="n">
        <f aca="false">ROUND((Data!C270-Data!E270)/Data!C270*100,2)</f>
        <v>47.28</v>
      </c>
      <c r="E270" s="1" t="n">
        <v>13.16</v>
      </c>
      <c r="F270" s="1" t="n">
        <v>14.1</v>
      </c>
      <c r="G270" s="1" t="n">
        <v>0.94</v>
      </c>
      <c r="H270" s="1" t="n">
        <v>7.14</v>
      </c>
      <c r="I270" s="1" t="s">
        <v>13</v>
      </c>
      <c r="J270" s="1" t="s">
        <v>987</v>
      </c>
    </row>
    <row r="271" customFormat="false" ht="13.5" hidden="false" customHeight="true" outlineLevel="0" collapsed="false">
      <c r="A271" s="1" t="s">
        <v>988</v>
      </c>
      <c r="B271" s="1" t="s">
        <v>989</v>
      </c>
      <c r="C271" s="1" t="s">
        <v>990</v>
      </c>
      <c r="D271" s="3" t="n">
        <f aca="false">ROUND((Data!C271-Data!E271)/Data!C271*100,2)</f>
        <v>35.76</v>
      </c>
      <c r="E271" s="1" t="n">
        <v>49.44</v>
      </c>
      <c r="F271" s="1" t="n">
        <v>52.95</v>
      </c>
      <c r="G271" s="1" t="n">
        <v>3.51</v>
      </c>
      <c r="H271" s="1" t="n">
        <v>7.1</v>
      </c>
      <c r="I271" s="1" t="s">
        <v>13</v>
      </c>
      <c r="J271" s="1" t="s">
        <v>991</v>
      </c>
    </row>
    <row r="272" customFormat="false" ht="13.5" hidden="false" customHeight="true" outlineLevel="0" collapsed="false">
      <c r="A272" s="1" t="s">
        <v>336</v>
      </c>
      <c r="B272" s="1" t="s">
        <v>992</v>
      </c>
      <c r="C272" s="1" t="s">
        <v>993</v>
      </c>
      <c r="D272" s="3" t="n">
        <f aca="false">ROUND((Data!C272-Data!E272)/Data!C272*100,2)</f>
        <v>48.18</v>
      </c>
      <c r="E272" s="1" t="n">
        <v>10.33</v>
      </c>
      <c r="F272" s="1" t="n">
        <v>11.06</v>
      </c>
      <c r="G272" s="1" t="n">
        <v>0.73</v>
      </c>
      <c r="H272" s="1" t="n">
        <v>7.07</v>
      </c>
      <c r="I272" s="1" t="s">
        <v>13</v>
      </c>
      <c r="J272" s="1" t="s">
        <v>994</v>
      </c>
    </row>
    <row r="273" customFormat="false" ht="13.5" hidden="false" customHeight="true" outlineLevel="0" collapsed="false">
      <c r="A273" s="1" t="s">
        <v>995</v>
      </c>
      <c r="B273" s="1" t="s">
        <v>996</v>
      </c>
      <c r="C273" s="1" t="s">
        <v>997</v>
      </c>
      <c r="D273" s="3" t="n">
        <f aca="false">ROUND((Data!C273-Data!E273)/Data!C273*100,2)</f>
        <v>34.83</v>
      </c>
      <c r="E273" s="1" t="n">
        <v>16.65</v>
      </c>
      <c r="F273" s="1" t="n">
        <v>17.81</v>
      </c>
      <c r="G273" s="1" t="n">
        <v>1.16</v>
      </c>
      <c r="H273" s="1" t="n">
        <v>6.97</v>
      </c>
      <c r="I273" s="1" t="s">
        <v>13</v>
      </c>
      <c r="J273" s="1" t="s">
        <v>998</v>
      </c>
    </row>
    <row r="274" customFormat="false" ht="13.5" hidden="false" customHeight="true" outlineLevel="0" collapsed="false">
      <c r="A274" s="1" t="s">
        <v>999</v>
      </c>
      <c r="B274" s="1" t="s">
        <v>1000</v>
      </c>
      <c r="C274" s="1" t="s">
        <v>1001</v>
      </c>
      <c r="D274" s="3" t="n">
        <f aca="false">ROUND((Data!C274-Data!E274)/Data!C274*100,2)</f>
        <v>42.8</v>
      </c>
      <c r="E274" s="1" t="n">
        <v>12.48</v>
      </c>
      <c r="F274" s="1" t="n">
        <v>13.34</v>
      </c>
      <c r="G274" s="1" t="n">
        <v>0.86</v>
      </c>
      <c r="H274" s="1" t="n">
        <v>6.89</v>
      </c>
      <c r="I274" s="1" t="s">
        <v>13</v>
      </c>
      <c r="J274" s="1" t="s">
        <v>1002</v>
      </c>
    </row>
    <row r="275" customFormat="false" ht="13.5" hidden="false" customHeight="true" outlineLevel="0" collapsed="false">
      <c r="A275" s="1" t="s">
        <v>1003</v>
      </c>
      <c r="B275" s="1" t="s">
        <v>1004</v>
      </c>
      <c r="C275" s="1" t="s">
        <v>1005</v>
      </c>
      <c r="D275" s="3" t="n">
        <f aca="false">ROUND((Data!C275-Data!E275)/Data!C275*100,2)</f>
        <v>33.4</v>
      </c>
      <c r="E275" s="1" t="n">
        <v>344</v>
      </c>
      <c r="F275" s="1" t="n">
        <v>367.65</v>
      </c>
      <c r="G275" s="1" t="n">
        <v>23.65</v>
      </c>
      <c r="H275" s="1" t="n">
        <v>6.87</v>
      </c>
      <c r="I275" s="1" t="s">
        <v>13</v>
      </c>
      <c r="J275" s="1" t="s">
        <v>1006</v>
      </c>
    </row>
    <row r="276" customFormat="false" ht="13.5" hidden="false" customHeight="true" outlineLevel="0" collapsed="false">
      <c r="A276" s="1" t="s">
        <v>1007</v>
      </c>
      <c r="B276" s="1" t="s">
        <v>1008</v>
      </c>
      <c r="C276" s="1" t="s">
        <v>1009</v>
      </c>
      <c r="D276" s="3" t="n">
        <f aca="false">ROUND((Data!C276-Data!E276)/Data!C276*100,2)</f>
        <v>32.93</v>
      </c>
      <c r="E276" s="1" t="n">
        <v>277</v>
      </c>
      <c r="F276" s="1" t="n">
        <v>295.75</v>
      </c>
      <c r="G276" s="1" t="n">
        <v>18.75</v>
      </c>
      <c r="H276" s="1" t="n">
        <v>6.77</v>
      </c>
      <c r="I276" s="1" t="s">
        <v>13</v>
      </c>
      <c r="J276" s="1" t="s">
        <v>1010</v>
      </c>
    </row>
    <row r="277" customFormat="false" ht="13.5" hidden="false" customHeight="true" outlineLevel="0" collapsed="false">
      <c r="A277" s="1" t="s">
        <v>909</v>
      </c>
      <c r="B277" s="1" t="s">
        <v>1011</v>
      </c>
      <c r="C277" s="1" t="s">
        <v>1012</v>
      </c>
      <c r="D277" s="3" t="n">
        <f aca="false">ROUND((Data!C277-Data!E277)/Data!C277*100,2)</f>
        <v>28.72</v>
      </c>
      <c r="E277" s="1" t="n">
        <v>83.46</v>
      </c>
      <c r="F277" s="1" t="n">
        <v>88.77</v>
      </c>
      <c r="G277" s="1" t="n">
        <v>5.31</v>
      </c>
      <c r="H277" s="1" t="n">
        <v>6.36</v>
      </c>
      <c r="I277" s="1" t="s">
        <v>13</v>
      </c>
      <c r="J277" s="1" t="s">
        <v>1013</v>
      </c>
    </row>
    <row r="278" customFormat="false" ht="13.5" hidden="false" customHeight="true" outlineLevel="0" collapsed="false">
      <c r="A278" s="1" t="s">
        <v>157</v>
      </c>
      <c r="B278" s="1" t="s">
        <v>1014</v>
      </c>
      <c r="C278" s="1" t="s">
        <v>1015</v>
      </c>
      <c r="D278" s="3" t="n">
        <f aca="false">ROUND((Data!C278-Data!E278)/Data!C278*100,2)</f>
        <v>43.93</v>
      </c>
      <c r="E278" s="1" t="n">
        <v>396.01</v>
      </c>
      <c r="F278" s="1" t="n">
        <v>420.95</v>
      </c>
      <c r="G278" s="1" t="n">
        <v>24.94</v>
      </c>
      <c r="H278" s="1" t="n">
        <v>6.3</v>
      </c>
      <c r="I278" s="1" t="s">
        <v>13</v>
      </c>
      <c r="J278" s="1" t="s">
        <v>1016</v>
      </c>
    </row>
    <row r="279" customFormat="false" ht="13.5" hidden="false" customHeight="true" outlineLevel="0" collapsed="false">
      <c r="A279" s="1" t="s">
        <v>1017</v>
      </c>
      <c r="B279" s="1" t="s">
        <v>1018</v>
      </c>
      <c r="C279" s="1" t="s">
        <v>1019</v>
      </c>
      <c r="D279" s="3" t="n">
        <f aca="false">ROUND((Data!C279-Data!E279)/Data!C279*100,2)</f>
        <v>32.39</v>
      </c>
      <c r="E279" s="1" t="n">
        <v>8.18</v>
      </c>
      <c r="F279" s="1" t="n">
        <v>8.69</v>
      </c>
      <c r="G279" s="1" t="n">
        <v>0.51</v>
      </c>
      <c r="H279" s="1" t="n">
        <v>6.23</v>
      </c>
      <c r="I279" s="1" t="s">
        <v>13</v>
      </c>
      <c r="J279" s="1" t="s">
        <v>1020</v>
      </c>
    </row>
    <row r="280" customFormat="false" ht="13.5" hidden="false" customHeight="true" outlineLevel="0" collapsed="false">
      <c r="A280" s="1" t="s">
        <v>977</v>
      </c>
      <c r="B280" s="1" t="s">
        <v>1021</v>
      </c>
      <c r="C280" s="1" t="s">
        <v>1022</v>
      </c>
      <c r="D280" s="3" t="n">
        <f aca="false">ROUND((Data!C280-Data!E280)/Data!C280*100,2)</f>
        <v>36.34</v>
      </c>
      <c r="E280" s="1" t="n">
        <v>21.71</v>
      </c>
      <c r="F280" s="1" t="n">
        <v>23.05</v>
      </c>
      <c r="G280" s="1" t="n">
        <v>1.34</v>
      </c>
      <c r="H280" s="1" t="n">
        <v>6.17</v>
      </c>
      <c r="I280" s="1" t="s">
        <v>13</v>
      </c>
      <c r="J280" s="1" t="s">
        <v>1023</v>
      </c>
    </row>
    <row r="281" customFormat="false" ht="13.5" hidden="false" customHeight="true" outlineLevel="0" collapsed="false">
      <c r="A281" s="1" t="s">
        <v>1024</v>
      </c>
      <c r="B281" s="1" t="s">
        <v>1025</v>
      </c>
      <c r="C281" s="1" t="s">
        <v>1026</v>
      </c>
      <c r="D281" s="3" t="n">
        <f aca="false">ROUND((Data!C281-Data!E281)/Data!C281*100,2)</f>
        <v>41.56</v>
      </c>
      <c r="E281" s="1" t="n">
        <v>237.38</v>
      </c>
      <c r="F281" s="1" t="n">
        <v>251.68</v>
      </c>
      <c r="G281" s="1" t="n">
        <v>14.3</v>
      </c>
      <c r="H281" s="1" t="n">
        <v>6.02</v>
      </c>
      <c r="I281" s="1" t="s">
        <v>13</v>
      </c>
      <c r="J281" s="1" t="s">
        <v>1027</v>
      </c>
    </row>
    <row r="282" customFormat="false" ht="13.5" hidden="false" customHeight="true" outlineLevel="0" collapsed="false">
      <c r="A282" s="1" t="s">
        <v>1028</v>
      </c>
      <c r="B282" s="1" t="s">
        <v>1029</v>
      </c>
      <c r="C282" s="1" t="s">
        <v>1030</v>
      </c>
      <c r="D282" s="3" t="n">
        <f aca="false">ROUND((Data!C282-Data!E282)/Data!C282*100,2)</f>
        <v>32.89</v>
      </c>
      <c r="E282" s="1" t="n">
        <v>57.37</v>
      </c>
      <c r="F282" s="1" t="n">
        <v>60.82</v>
      </c>
      <c r="G282" s="1" t="n">
        <v>3.45</v>
      </c>
      <c r="H282" s="1" t="n">
        <v>6.01</v>
      </c>
      <c r="I282" s="1" t="s">
        <v>13</v>
      </c>
      <c r="J282" s="1" t="s">
        <v>1031</v>
      </c>
    </row>
    <row r="283" customFormat="false" ht="13.5" hidden="false" customHeight="true" outlineLevel="0" collapsed="false">
      <c r="A283" s="1" t="s">
        <v>1032</v>
      </c>
      <c r="B283" s="1" t="s">
        <v>1033</v>
      </c>
      <c r="C283" s="1" t="s">
        <v>1034</v>
      </c>
      <c r="D283" s="3" t="n">
        <f aca="false">ROUND((Data!C283-Data!E283)/Data!C283*100,2)</f>
        <v>37.98</v>
      </c>
      <c r="E283" s="1" t="n">
        <v>293.39</v>
      </c>
      <c r="F283" s="1" t="n">
        <v>310.87</v>
      </c>
      <c r="G283" s="1" t="n">
        <v>17.48</v>
      </c>
      <c r="H283" s="1" t="n">
        <v>5.96</v>
      </c>
      <c r="I283" s="1" t="s">
        <v>13</v>
      </c>
      <c r="J283" s="1" t="s">
        <v>1035</v>
      </c>
    </row>
    <row r="284" customFormat="false" ht="13.5" hidden="false" customHeight="true" outlineLevel="0" collapsed="false">
      <c r="A284" s="1" t="s">
        <v>1036</v>
      </c>
      <c r="B284" s="1" t="s">
        <v>1037</v>
      </c>
      <c r="C284" s="1" t="s">
        <v>1038</v>
      </c>
      <c r="D284" s="3" t="n">
        <f aca="false">ROUND((Data!C284-Data!E284)/Data!C284*100,2)</f>
        <v>44.41</v>
      </c>
      <c r="E284" s="1" t="n">
        <v>271.89</v>
      </c>
      <c r="F284" s="1" t="n">
        <v>288</v>
      </c>
      <c r="G284" s="1" t="n">
        <v>16.11</v>
      </c>
      <c r="H284" s="1" t="n">
        <v>5.93</v>
      </c>
      <c r="I284" s="1" t="s">
        <v>13</v>
      </c>
      <c r="J284" s="1" t="s">
        <v>1039</v>
      </c>
    </row>
    <row r="285" customFormat="false" ht="13.5" hidden="false" customHeight="true" outlineLevel="0" collapsed="false">
      <c r="A285" s="1" t="s">
        <v>169</v>
      </c>
      <c r="B285" s="1" t="s">
        <v>1040</v>
      </c>
      <c r="C285" s="1" t="s">
        <v>1041</v>
      </c>
      <c r="D285" s="3" t="n">
        <f aca="false">ROUND((Data!C285-Data!E285)/Data!C285*100,2)</f>
        <v>37.05</v>
      </c>
      <c r="E285" s="1" t="n">
        <v>39.09</v>
      </c>
      <c r="F285" s="1" t="n">
        <v>41.36</v>
      </c>
      <c r="G285" s="1" t="n">
        <v>2.27</v>
      </c>
      <c r="H285" s="1" t="n">
        <v>5.81</v>
      </c>
      <c r="I285" s="1" t="s">
        <v>13</v>
      </c>
      <c r="J285" s="1" t="s">
        <v>1042</v>
      </c>
    </row>
    <row r="286" customFormat="false" ht="13.5" hidden="false" customHeight="true" outlineLevel="0" collapsed="false">
      <c r="A286" s="1" t="s">
        <v>1043</v>
      </c>
      <c r="B286" s="1" t="s">
        <v>1044</v>
      </c>
      <c r="C286" s="1" t="s">
        <v>1045</v>
      </c>
      <c r="D286" s="3" t="n">
        <f aca="false">ROUND((Data!C286-Data!E286)/Data!C286*100,2)</f>
        <v>23.74</v>
      </c>
      <c r="E286" s="1" t="n">
        <v>11.08</v>
      </c>
      <c r="F286" s="1" t="n">
        <v>11.72</v>
      </c>
      <c r="G286" s="1" t="n">
        <v>0.64</v>
      </c>
      <c r="H286" s="1" t="n">
        <v>5.78</v>
      </c>
      <c r="I286" s="1" t="s">
        <v>13</v>
      </c>
      <c r="J286" s="1" t="s">
        <v>1046</v>
      </c>
    </row>
    <row r="287" customFormat="false" ht="13.5" hidden="false" customHeight="true" outlineLevel="0" collapsed="false">
      <c r="A287" s="1" t="s">
        <v>336</v>
      </c>
      <c r="B287" s="1" t="s">
        <v>1047</v>
      </c>
      <c r="C287" s="1" t="s">
        <v>1048</v>
      </c>
      <c r="D287" s="3" t="n">
        <f aca="false">ROUND((Data!C287-Data!E287)/Data!C287*100,2)</f>
        <v>42.38</v>
      </c>
      <c r="E287" s="1" t="n">
        <v>19.91</v>
      </c>
      <c r="F287" s="1" t="n">
        <v>21.04</v>
      </c>
      <c r="G287" s="1" t="n">
        <v>1.13</v>
      </c>
      <c r="H287" s="1" t="n">
        <v>5.68</v>
      </c>
      <c r="I287" s="1" t="s">
        <v>13</v>
      </c>
      <c r="J287" s="1" t="s">
        <v>1049</v>
      </c>
    </row>
    <row r="288" customFormat="false" ht="13.5" hidden="false" customHeight="true" outlineLevel="0" collapsed="false">
      <c r="A288" s="1" t="s">
        <v>484</v>
      </c>
      <c r="B288" s="1" t="s">
        <v>1050</v>
      </c>
      <c r="C288" s="1" t="s">
        <v>1051</v>
      </c>
      <c r="D288" s="3" t="n">
        <f aca="false">ROUND((Data!C288-Data!E288)/Data!C288*100,2)</f>
        <v>31.91</v>
      </c>
      <c r="E288" s="1" t="n">
        <v>28.69</v>
      </c>
      <c r="F288" s="1" t="n">
        <v>30.3</v>
      </c>
      <c r="G288" s="1" t="n">
        <v>1.61</v>
      </c>
      <c r="H288" s="1" t="n">
        <v>5.61</v>
      </c>
      <c r="I288" s="1" t="s">
        <v>13</v>
      </c>
      <c r="J288" s="1" t="s">
        <v>1052</v>
      </c>
    </row>
    <row r="289" customFormat="false" ht="13.5" hidden="false" customHeight="true" outlineLevel="0" collapsed="false">
      <c r="A289" s="1" t="s">
        <v>93</v>
      </c>
      <c r="B289" s="1" t="s">
        <v>1053</v>
      </c>
      <c r="C289" s="1" t="s">
        <v>1054</v>
      </c>
      <c r="D289" s="3" t="n">
        <f aca="false">ROUND((Data!C289-Data!E289)/Data!C289*100,2)</f>
        <v>44.39</v>
      </c>
      <c r="E289" s="1" t="n">
        <v>34.06</v>
      </c>
      <c r="F289" s="1" t="n">
        <v>35.95</v>
      </c>
      <c r="G289" s="1" t="n">
        <v>1.89</v>
      </c>
      <c r="H289" s="1" t="n">
        <v>5.55</v>
      </c>
      <c r="I289" s="1" t="s">
        <v>13</v>
      </c>
      <c r="J289" s="1" t="s">
        <v>1055</v>
      </c>
    </row>
    <row r="290" customFormat="false" ht="13.5" hidden="false" customHeight="true" outlineLevel="0" collapsed="false">
      <c r="A290" s="1" t="s">
        <v>1056</v>
      </c>
      <c r="B290" s="1" t="s">
        <v>1057</v>
      </c>
      <c r="C290" s="1" t="s">
        <v>1058</v>
      </c>
      <c r="D290" s="3" t="n">
        <f aca="false">ROUND((Data!C290-Data!E290)/Data!C290*100,2)</f>
        <v>33.26</v>
      </c>
      <c r="E290" s="1" t="n">
        <v>13.34</v>
      </c>
      <c r="F290" s="1" t="n">
        <v>14.07</v>
      </c>
      <c r="G290" s="1" t="n">
        <v>0.73</v>
      </c>
      <c r="H290" s="1" t="n">
        <v>5.47</v>
      </c>
      <c r="I290" s="1" t="s">
        <v>13</v>
      </c>
      <c r="J290" s="1" t="s">
        <v>1059</v>
      </c>
    </row>
    <row r="291" customFormat="false" ht="13.5" hidden="false" customHeight="true" outlineLevel="0" collapsed="false">
      <c r="A291" s="1" t="s">
        <v>1060</v>
      </c>
      <c r="B291" s="1" t="s">
        <v>1061</v>
      </c>
      <c r="C291" s="1" t="s">
        <v>1062</v>
      </c>
      <c r="D291" s="3" t="n">
        <f aca="false">ROUND((Data!C291-Data!E291)/Data!C291*100,2)</f>
        <v>35.34</v>
      </c>
      <c r="E291" s="1" t="n">
        <v>10.67</v>
      </c>
      <c r="F291" s="1" t="n">
        <v>11.23</v>
      </c>
      <c r="G291" s="1" t="n">
        <v>0.56</v>
      </c>
      <c r="H291" s="1" t="n">
        <v>5.25</v>
      </c>
      <c r="I291" s="1" t="s">
        <v>13</v>
      </c>
      <c r="J291" s="1" t="s">
        <v>1063</v>
      </c>
    </row>
    <row r="292" customFormat="false" ht="13.5" hidden="false" customHeight="true" outlineLevel="0" collapsed="false">
      <c r="A292" s="1" t="s">
        <v>1064</v>
      </c>
      <c r="B292" s="1" t="s">
        <v>1065</v>
      </c>
      <c r="C292" s="1" t="s">
        <v>1066</v>
      </c>
      <c r="D292" s="3" t="n">
        <f aca="false">ROUND((Data!C292-Data!E292)/Data!C292*100,2)</f>
        <v>35.27</v>
      </c>
      <c r="E292" s="1" t="n">
        <v>10.01</v>
      </c>
      <c r="F292" s="1" t="n">
        <v>10.53</v>
      </c>
      <c r="G292" s="1" t="n">
        <v>0.52</v>
      </c>
      <c r="H292" s="1" t="n">
        <v>5.19</v>
      </c>
      <c r="I292" s="1" t="s">
        <v>13</v>
      </c>
      <c r="J292" s="1" t="s">
        <v>1067</v>
      </c>
    </row>
    <row r="293" customFormat="false" ht="13.5" hidden="false" customHeight="true" outlineLevel="0" collapsed="false">
      <c r="A293" s="1" t="s">
        <v>1068</v>
      </c>
      <c r="B293" s="1" t="s">
        <v>1069</v>
      </c>
      <c r="C293" s="1" t="s">
        <v>1070</v>
      </c>
      <c r="D293" s="3" t="n">
        <f aca="false">ROUND((Data!C293-Data!E293)/Data!C293*100,2)</f>
        <v>45.91</v>
      </c>
      <c r="E293" s="1" t="n">
        <v>204.9</v>
      </c>
      <c r="F293" s="1" t="n">
        <v>215.52</v>
      </c>
      <c r="G293" s="1" t="n">
        <v>10.62</v>
      </c>
      <c r="H293" s="1" t="n">
        <v>5.18</v>
      </c>
      <c r="I293" s="1" t="s">
        <v>13</v>
      </c>
      <c r="J293" s="1" t="s">
        <v>1071</v>
      </c>
    </row>
    <row r="294" customFormat="false" ht="13.5" hidden="false" customHeight="true" outlineLevel="0" collapsed="false">
      <c r="A294" s="1" t="s">
        <v>1072</v>
      </c>
      <c r="B294" s="1" t="s">
        <v>1073</v>
      </c>
      <c r="C294" s="1" t="s">
        <v>1074</v>
      </c>
      <c r="D294" s="3" t="n">
        <f aca="false">ROUND((Data!C294-Data!E294)/Data!C294*100,2)</f>
        <v>32.4</v>
      </c>
      <c r="E294" s="1" t="n">
        <v>53.51</v>
      </c>
      <c r="F294" s="1" t="n">
        <v>56.28</v>
      </c>
      <c r="G294" s="1" t="n">
        <v>2.77</v>
      </c>
      <c r="H294" s="1" t="n">
        <v>5.18</v>
      </c>
      <c r="I294" s="1" t="s">
        <v>13</v>
      </c>
      <c r="J294" s="1" t="s">
        <v>1075</v>
      </c>
    </row>
    <row r="295" customFormat="false" ht="13.5" hidden="false" customHeight="true" outlineLevel="0" collapsed="false">
      <c r="A295" s="1" t="s">
        <v>1076</v>
      </c>
      <c r="B295" s="1" t="s">
        <v>1077</v>
      </c>
      <c r="C295" s="1" t="s">
        <v>1078</v>
      </c>
      <c r="D295" s="3" t="n">
        <f aca="false">ROUND((Data!C295-Data!E295)/Data!C295*100,2)</f>
        <v>31.65</v>
      </c>
      <c r="E295" s="1" t="n">
        <v>5.92</v>
      </c>
      <c r="F295" s="1" t="n">
        <v>6.21</v>
      </c>
      <c r="G295" s="1" t="n">
        <v>0.29</v>
      </c>
      <c r="H295" s="1" t="n">
        <v>4.9</v>
      </c>
      <c r="I295" s="1" t="s">
        <v>13</v>
      </c>
      <c r="J295" s="1" t="s">
        <v>1079</v>
      </c>
    </row>
    <row r="296" customFormat="false" ht="13.5" hidden="false" customHeight="true" outlineLevel="0" collapsed="false">
      <c r="A296" s="1" t="s">
        <v>909</v>
      </c>
      <c r="B296" s="1" t="s">
        <v>1080</v>
      </c>
      <c r="C296" s="1" t="s">
        <v>1081</v>
      </c>
      <c r="D296" s="3" t="n">
        <f aca="false">ROUND((Data!C296-Data!E296)/Data!C296*100,2)</f>
        <v>27.63</v>
      </c>
      <c r="E296" s="1" t="n">
        <v>25.93</v>
      </c>
      <c r="F296" s="1" t="n">
        <v>27.19</v>
      </c>
      <c r="G296" s="1" t="n">
        <v>1.26</v>
      </c>
      <c r="H296" s="1" t="n">
        <v>4.86</v>
      </c>
      <c r="I296" s="1" t="s">
        <v>13</v>
      </c>
      <c r="J296" s="1" t="s">
        <v>1082</v>
      </c>
    </row>
    <row r="297" customFormat="false" ht="13.5" hidden="false" customHeight="true" outlineLevel="0" collapsed="false">
      <c r="A297" s="1" t="s">
        <v>1083</v>
      </c>
      <c r="B297" s="1" t="s">
        <v>1084</v>
      </c>
      <c r="C297" s="1" t="s">
        <v>1085</v>
      </c>
      <c r="D297" s="3" t="n">
        <f aca="false">ROUND((Data!C297-Data!E297)/Data!C297*100,2)</f>
        <v>65.92</v>
      </c>
      <c r="E297" s="1" t="n">
        <v>385.9</v>
      </c>
      <c r="F297" s="1" t="n">
        <v>404.16</v>
      </c>
      <c r="G297" s="1" t="n">
        <v>18.26</v>
      </c>
      <c r="H297" s="1" t="n">
        <v>4.73</v>
      </c>
      <c r="I297" s="1" t="s">
        <v>13</v>
      </c>
      <c r="J297" s="1" t="s">
        <v>1086</v>
      </c>
    </row>
    <row r="298" customFormat="false" ht="13.5" hidden="false" customHeight="true" outlineLevel="0" collapsed="false">
      <c r="A298" s="1" t="s">
        <v>1087</v>
      </c>
      <c r="B298" s="1" t="s">
        <v>1088</v>
      </c>
      <c r="C298" s="1" t="s">
        <v>1089</v>
      </c>
      <c r="D298" s="3" t="n">
        <f aca="false">ROUND((Data!C298-Data!E298)/Data!C298*100,2)</f>
        <v>40.02</v>
      </c>
      <c r="E298" s="1" t="n">
        <v>59.77</v>
      </c>
      <c r="F298" s="1" t="n">
        <v>62.6</v>
      </c>
      <c r="G298" s="1" t="n">
        <v>2.83</v>
      </c>
      <c r="H298" s="1" t="n">
        <v>4.73</v>
      </c>
      <c r="I298" s="1" t="s">
        <v>13</v>
      </c>
      <c r="J298" s="1" t="s">
        <v>1090</v>
      </c>
    </row>
    <row r="299" customFormat="false" ht="13.5" hidden="false" customHeight="true" outlineLevel="0" collapsed="false">
      <c r="A299" s="1" t="s">
        <v>1091</v>
      </c>
      <c r="B299" s="1" t="s">
        <v>1092</v>
      </c>
      <c r="C299" s="1" t="s">
        <v>1093</v>
      </c>
      <c r="D299" s="3" t="n">
        <f aca="false">ROUND((Data!C299-Data!E299)/Data!C299*100,2)</f>
        <v>32.38</v>
      </c>
      <c r="E299" s="1" t="n">
        <v>53.71</v>
      </c>
      <c r="F299" s="1" t="n">
        <v>56.22</v>
      </c>
      <c r="G299" s="1" t="n">
        <v>2.51</v>
      </c>
      <c r="H299" s="1" t="n">
        <v>4.67</v>
      </c>
      <c r="I299" s="1" t="s">
        <v>13</v>
      </c>
      <c r="J299" s="1" t="s">
        <v>1094</v>
      </c>
    </row>
    <row r="300" customFormat="false" ht="13.5" hidden="false" customHeight="true" outlineLevel="0" collapsed="false">
      <c r="A300" s="1" t="s">
        <v>909</v>
      </c>
      <c r="B300" s="1" t="s">
        <v>1095</v>
      </c>
      <c r="C300" s="1" t="s">
        <v>1096</v>
      </c>
      <c r="D300" s="3" t="n">
        <f aca="false">ROUND((Data!C300-Data!E300)/Data!C300*100,2)</f>
        <v>23.74</v>
      </c>
      <c r="E300" s="1" t="n">
        <v>24.1</v>
      </c>
      <c r="F300" s="1" t="n">
        <v>25.13</v>
      </c>
      <c r="G300" s="1" t="n">
        <v>1.03</v>
      </c>
      <c r="H300" s="1" t="n">
        <v>4.27</v>
      </c>
      <c r="I300" s="1" t="s">
        <v>13</v>
      </c>
      <c r="J300" s="1" t="s">
        <v>1097</v>
      </c>
    </row>
    <row r="301" customFormat="false" ht="13.5" hidden="false" customHeight="true" outlineLevel="0" collapsed="false">
      <c r="A301" s="1" t="s">
        <v>1098</v>
      </c>
      <c r="B301" s="1" t="s">
        <v>1099</v>
      </c>
      <c r="C301" s="1" t="s">
        <v>1100</v>
      </c>
      <c r="D301" s="3" t="n">
        <f aca="false">ROUND((Data!C301-Data!E301)/Data!C301*100,2)</f>
        <v>46.45</v>
      </c>
      <c r="E301" s="1" t="n">
        <v>11.77</v>
      </c>
      <c r="F301" s="1" t="n">
        <v>12.27</v>
      </c>
      <c r="G301" s="1" t="n">
        <v>0.5</v>
      </c>
      <c r="H301" s="1" t="n">
        <v>4.25</v>
      </c>
      <c r="I301" s="1" t="s">
        <v>13</v>
      </c>
      <c r="J301" s="1" t="s">
        <v>1101</v>
      </c>
    </row>
    <row r="302" customFormat="false" ht="13.5" hidden="false" customHeight="true" outlineLevel="0" collapsed="false">
      <c r="A302" s="1" t="s">
        <v>1102</v>
      </c>
      <c r="B302" s="1" t="s">
        <v>1103</v>
      </c>
      <c r="C302" s="1" t="s">
        <v>1104</v>
      </c>
      <c r="D302" s="3" t="n">
        <f aca="false">ROUND((Data!C302-Data!E302)/Data!C302*100,2)</f>
        <v>28.95</v>
      </c>
      <c r="E302" s="1" t="n">
        <v>37.53</v>
      </c>
      <c r="F302" s="1" t="n">
        <v>39.12</v>
      </c>
      <c r="G302" s="1" t="n">
        <v>1.59</v>
      </c>
      <c r="H302" s="1" t="n">
        <v>4.24</v>
      </c>
      <c r="I302" s="1" t="s">
        <v>13</v>
      </c>
      <c r="J302" s="1" t="s">
        <v>1105</v>
      </c>
    </row>
    <row r="303" customFormat="false" ht="13.5" hidden="false" customHeight="true" outlineLevel="0" collapsed="false">
      <c r="A303" s="1" t="s">
        <v>1106</v>
      </c>
      <c r="B303" s="1" t="s">
        <v>1107</v>
      </c>
      <c r="C303" s="1" t="s">
        <v>1108</v>
      </c>
      <c r="D303" s="3" t="n">
        <f aca="false">ROUND((Data!C303-Data!E303)/Data!C303*100,2)</f>
        <v>30.31</v>
      </c>
      <c r="E303" s="1" t="n">
        <v>40.8</v>
      </c>
      <c r="F303" s="1" t="n">
        <v>42.51</v>
      </c>
      <c r="G303" s="1" t="n">
        <v>1.71</v>
      </c>
      <c r="H303" s="1" t="n">
        <v>4.19</v>
      </c>
      <c r="I303" s="1" t="s">
        <v>13</v>
      </c>
      <c r="J303" s="1" t="s">
        <v>1109</v>
      </c>
    </row>
    <row r="304" customFormat="false" ht="13.5" hidden="false" customHeight="true" outlineLevel="0" collapsed="false">
      <c r="A304" s="1" t="s">
        <v>465</v>
      </c>
      <c r="B304" s="1" t="s">
        <v>1110</v>
      </c>
      <c r="C304" s="1" t="s">
        <v>1111</v>
      </c>
      <c r="D304" s="3" t="n">
        <f aca="false">ROUND((Data!C304-Data!E304)/Data!C304*100,2)</f>
        <v>32.47</v>
      </c>
      <c r="E304" s="1" t="n">
        <v>34.04</v>
      </c>
      <c r="F304" s="1" t="n">
        <v>35.46</v>
      </c>
      <c r="G304" s="1" t="n">
        <v>1.42</v>
      </c>
      <c r="H304" s="1" t="n">
        <v>4.17</v>
      </c>
      <c r="I304" s="1" t="s">
        <v>13</v>
      </c>
      <c r="J304" s="1" t="s">
        <v>1112</v>
      </c>
    </row>
    <row r="305" customFormat="false" ht="13.5" hidden="false" customHeight="true" outlineLevel="0" collapsed="false">
      <c r="A305" s="1" t="s">
        <v>377</v>
      </c>
      <c r="B305" s="1" t="s">
        <v>1113</v>
      </c>
      <c r="C305" s="1" t="s">
        <v>1114</v>
      </c>
      <c r="D305" s="3" t="n">
        <f aca="false">ROUND((Data!C305-Data!E305)/Data!C305*100,2)</f>
        <v>42.75</v>
      </c>
      <c r="E305" s="1" t="n">
        <v>14.65</v>
      </c>
      <c r="F305" s="1" t="n">
        <v>15.23</v>
      </c>
      <c r="G305" s="1" t="n">
        <v>0.58</v>
      </c>
      <c r="H305" s="1" t="n">
        <v>3.96</v>
      </c>
      <c r="I305" s="1" t="s">
        <v>13</v>
      </c>
      <c r="J305" s="1" t="s">
        <v>1115</v>
      </c>
    </row>
    <row r="306" customFormat="false" ht="13.5" hidden="false" customHeight="true" outlineLevel="0" collapsed="false">
      <c r="A306" s="1" t="s">
        <v>1116</v>
      </c>
      <c r="B306" s="1" t="s">
        <v>1117</v>
      </c>
      <c r="C306" s="1" t="s">
        <v>1118</v>
      </c>
      <c r="D306" s="3" t="n">
        <f aca="false">ROUND((Data!C306-Data!E306)/Data!C306*100,2)</f>
        <v>35.05</v>
      </c>
      <c r="E306" s="1" t="n">
        <v>664.97</v>
      </c>
      <c r="F306" s="1" t="n">
        <v>690.65</v>
      </c>
      <c r="G306" s="1" t="n">
        <v>25.68</v>
      </c>
      <c r="H306" s="1" t="n">
        <v>3.86</v>
      </c>
      <c r="I306" s="1" t="s">
        <v>13</v>
      </c>
      <c r="J306" s="1" t="s">
        <v>1119</v>
      </c>
    </row>
    <row r="307" customFormat="false" ht="13.5" hidden="false" customHeight="true" outlineLevel="0" collapsed="false">
      <c r="A307" s="1" t="s">
        <v>1120</v>
      </c>
      <c r="B307" s="1" t="s">
        <v>1121</v>
      </c>
      <c r="C307" s="1" t="s">
        <v>1122</v>
      </c>
      <c r="D307" s="3" t="n">
        <f aca="false">ROUND((Data!C307-Data!E307)/Data!C307*100,2)</f>
        <v>38.03</v>
      </c>
      <c r="E307" s="1" t="n">
        <v>67.03</v>
      </c>
      <c r="F307" s="1" t="n">
        <v>69.54</v>
      </c>
      <c r="G307" s="1" t="n">
        <v>2.51</v>
      </c>
      <c r="H307" s="1" t="n">
        <v>3.74</v>
      </c>
      <c r="I307" s="1" t="s">
        <v>13</v>
      </c>
      <c r="J307" s="1" t="s">
        <v>1123</v>
      </c>
    </row>
    <row r="308" customFormat="false" ht="13.5" hidden="false" customHeight="true" outlineLevel="0" collapsed="false">
      <c r="A308" s="1" t="s">
        <v>1124</v>
      </c>
      <c r="B308" s="1" t="s">
        <v>1125</v>
      </c>
      <c r="C308" s="1" t="s">
        <v>1126</v>
      </c>
      <c r="D308" s="3" t="n">
        <f aca="false">ROUND((Data!C308-Data!E308)/Data!C308*100,2)</f>
        <v>42.89</v>
      </c>
      <c r="E308" s="1" t="n">
        <v>43.53</v>
      </c>
      <c r="F308" s="1" t="n">
        <v>45.15</v>
      </c>
      <c r="G308" s="1" t="n">
        <v>1.62</v>
      </c>
      <c r="H308" s="1" t="n">
        <v>3.72</v>
      </c>
      <c r="I308" s="1" t="s">
        <v>13</v>
      </c>
      <c r="J308" s="1" t="s">
        <v>1127</v>
      </c>
    </row>
    <row r="309" customFormat="false" ht="13.5" hidden="false" customHeight="true" outlineLevel="0" collapsed="false">
      <c r="A309" s="1" t="s">
        <v>1128</v>
      </c>
      <c r="B309" s="1" t="s">
        <v>1129</v>
      </c>
      <c r="C309" s="1" t="s">
        <v>1130</v>
      </c>
      <c r="D309" s="3" t="n">
        <f aca="false">ROUND((Data!C309-Data!E309)/Data!C309*100,2)</f>
        <v>30.92</v>
      </c>
      <c r="E309" s="1" t="n">
        <v>123.99</v>
      </c>
      <c r="F309" s="1" t="n">
        <v>128.5</v>
      </c>
      <c r="G309" s="1" t="n">
        <v>4.51</v>
      </c>
      <c r="H309" s="1" t="n">
        <v>3.64</v>
      </c>
      <c r="I309" s="1" t="s">
        <v>13</v>
      </c>
      <c r="J309" s="1" t="s">
        <v>1131</v>
      </c>
    </row>
    <row r="310" customFormat="false" ht="13.5" hidden="false" customHeight="true" outlineLevel="0" collapsed="false">
      <c r="A310" s="1" t="s">
        <v>1132</v>
      </c>
      <c r="B310" s="1" t="s">
        <v>1133</v>
      </c>
      <c r="C310" s="1" t="s">
        <v>1134</v>
      </c>
      <c r="D310" s="3" t="n">
        <f aca="false">ROUND((Data!C310-Data!E310)/Data!C310*100,2)</f>
        <v>48.32</v>
      </c>
      <c r="E310" s="1" t="n">
        <v>20.1</v>
      </c>
      <c r="F310" s="1" t="n">
        <v>20.82</v>
      </c>
      <c r="G310" s="1" t="n">
        <v>0.72</v>
      </c>
      <c r="H310" s="1" t="n">
        <v>3.58</v>
      </c>
      <c r="I310" s="1" t="s">
        <v>13</v>
      </c>
      <c r="J310" s="1" t="s">
        <v>1135</v>
      </c>
    </row>
    <row r="311" customFormat="false" ht="13.5" hidden="false" customHeight="true" outlineLevel="0" collapsed="false">
      <c r="A311" s="1" t="s">
        <v>1136</v>
      </c>
      <c r="B311" s="1" t="s">
        <v>1137</v>
      </c>
      <c r="C311" s="1" t="s">
        <v>1138</v>
      </c>
      <c r="D311" s="3" t="n">
        <f aca="false">ROUND((Data!C311-Data!E311)/Data!C311*100,2)</f>
        <v>28.86</v>
      </c>
      <c r="E311" s="1" t="n">
        <v>33.38</v>
      </c>
      <c r="F311" s="1" t="n">
        <v>34.57</v>
      </c>
      <c r="G311" s="1" t="n">
        <v>1.19</v>
      </c>
      <c r="H311" s="1" t="n">
        <v>3.57</v>
      </c>
      <c r="I311" s="1" t="s">
        <v>13</v>
      </c>
      <c r="J311" s="1" t="s">
        <v>1139</v>
      </c>
    </row>
    <row r="312" customFormat="false" ht="13.5" hidden="false" customHeight="true" outlineLevel="0" collapsed="false">
      <c r="A312" s="1" t="s">
        <v>1140</v>
      </c>
      <c r="B312" s="1" t="s">
        <v>1141</v>
      </c>
      <c r="C312" s="1" t="s">
        <v>1142</v>
      </c>
      <c r="D312" s="3" t="n">
        <f aca="false">ROUND((Data!C312-Data!E312)/Data!C312*100,2)</f>
        <v>24.33</v>
      </c>
      <c r="E312" s="1" t="n">
        <v>60.38</v>
      </c>
      <c r="F312" s="1" t="n">
        <v>62.5</v>
      </c>
      <c r="G312" s="1" t="n">
        <v>2.12</v>
      </c>
      <c r="H312" s="1" t="n">
        <v>3.51</v>
      </c>
      <c r="I312" s="1" t="s">
        <v>13</v>
      </c>
      <c r="J312" s="1" t="s">
        <v>1143</v>
      </c>
    </row>
    <row r="313" customFormat="false" ht="13.5" hidden="false" customHeight="true" outlineLevel="0" collapsed="false">
      <c r="A313" s="1" t="s">
        <v>1144</v>
      </c>
      <c r="B313" s="1" t="s">
        <v>1145</v>
      </c>
      <c r="C313" s="1" t="s">
        <v>1146</v>
      </c>
      <c r="D313" s="3" t="n">
        <f aca="false">ROUND((Data!C313-Data!E313)/Data!C313*100,2)</f>
        <v>22.22</v>
      </c>
      <c r="E313" s="1" t="n">
        <v>9.33</v>
      </c>
      <c r="F313" s="1" t="n">
        <v>9.64</v>
      </c>
      <c r="G313" s="1" t="n">
        <v>0.31</v>
      </c>
      <c r="H313" s="1" t="n">
        <v>3.32</v>
      </c>
      <c r="I313" s="1" t="s">
        <v>13</v>
      </c>
      <c r="J313" s="1" t="s">
        <v>1147</v>
      </c>
    </row>
    <row r="314" customFormat="false" ht="13.5" hidden="false" customHeight="true" outlineLevel="0" collapsed="false">
      <c r="A314" s="1" t="s">
        <v>377</v>
      </c>
      <c r="B314" s="1" t="s">
        <v>1148</v>
      </c>
      <c r="C314" s="1" t="s">
        <v>1149</v>
      </c>
      <c r="D314" s="3" t="n">
        <f aca="false">ROUND((Data!C314-Data!E314)/Data!C314*100,2)</f>
        <v>33.9</v>
      </c>
      <c r="E314" s="1" t="n">
        <v>16.7</v>
      </c>
      <c r="F314" s="1" t="n">
        <v>17.23</v>
      </c>
      <c r="G314" s="1" t="n">
        <v>0.53</v>
      </c>
      <c r="H314" s="1" t="n">
        <v>3.17</v>
      </c>
      <c r="I314" s="1" t="s">
        <v>13</v>
      </c>
      <c r="J314" s="1" t="s">
        <v>1150</v>
      </c>
    </row>
    <row r="315" customFormat="false" ht="13.5" hidden="false" customHeight="true" outlineLevel="0" collapsed="false">
      <c r="A315" s="1" t="s">
        <v>868</v>
      </c>
      <c r="B315" s="1" t="s">
        <v>1151</v>
      </c>
      <c r="C315" s="1" t="s">
        <v>1152</v>
      </c>
      <c r="D315" s="3" t="n">
        <f aca="false">ROUND((Data!C315-Data!E315)/Data!C315*100,2)</f>
        <v>26.27</v>
      </c>
      <c r="E315" s="1" t="n">
        <v>33.54</v>
      </c>
      <c r="F315" s="1" t="n">
        <v>34.6</v>
      </c>
      <c r="G315" s="1" t="n">
        <v>1.06</v>
      </c>
      <c r="H315" s="1" t="n">
        <v>3.16</v>
      </c>
      <c r="I315" s="1" t="s">
        <v>13</v>
      </c>
      <c r="J315" s="1" t="s">
        <v>1153</v>
      </c>
    </row>
    <row r="316" customFormat="false" ht="13.5" hidden="false" customHeight="true" outlineLevel="0" collapsed="false">
      <c r="A316" s="1" t="s">
        <v>1056</v>
      </c>
      <c r="B316" s="1" t="s">
        <v>1154</v>
      </c>
      <c r="C316" s="1" t="s">
        <v>1155</v>
      </c>
      <c r="D316" s="3" t="n">
        <f aca="false">ROUND((Data!C316-Data!E316)/Data!C316*100,2)</f>
        <v>33.69</v>
      </c>
      <c r="E316" s="1" t="n">
        <v>156.51</v>
      </c>
      <c r="F316" s="1" t="n">
        <v>161.4</v>
      </c>
      <c r="G316" s="1" t="n">
        <v>4.89</v>
      </c>
      <c r="H316" s="1" t="n">
        <v>3.12</v>
      </c>
      <c r="I316" s="1" t="s">
        <v>13</v>
      </c>
      <c r="J316" s="1" t="s">
        <v>1156</v>
      </c>
    </row>
    <row r="317" customFormat="false" ht="13.5" hidden="false" customHeight="true" outlineLevel="0" collapsed="false">
      <c r="A317" s="1" t="s">
        <v>1157</v>
      </c>
      <c r="B317" s="1" t="s">
        <v>1158</v>
      </c>
      <c r="C317" s="1" t="s">
        <v>1159</v>
      </c>
      <c r="D317" s="3" t="n">
        <f aca="false">ROUND((Data!C317-Data!E317)/Data!C317*100,2)</f>
        <v>22.54</v>
      </c>
      <c r="E317" s="1" t="n">
        <v>42.22</v>
      </c>
      <c r="F317" s="1" t="n">
        <v>43.53</v>
      </c>
      <c r="G317" s="1" t="n">
        <v>1.31</v>
      </c>
      <c r="H317" s="1" t="n">
        <v>3.1</v>
      </c>
      <c r="I317" s="1" t="s">
        <v>13</v>
      </c>
      <c r="J317" s="1" t="s">
        <v>1160</v>
      </c>
    </row>
    <row r="318" customFormat="false" ht="13.5" hidden="false" customHeight="true" outlineLevel="0" collapsed="false">
      <c r="A318" s="1" t="s">
        <v>1144</v>
      </c>
      <c r="B318" s="1" t="s">
        <v>1161</v>
      </c>
      <c r="C318" s="1" t="s">
        <v>1162</v>
      </c>
      <c r="D318" s="3" t="n">
        <f aca="false">ROUND((Data!C318-Data!E318)/Data!C318*100,2)</f>
        <v>16.95</v>
      </c>
      <c r="E318" s="1" t="n">
        <v>13.99</v>
      </c>
      <c r="F318" s="1" t="n">
        <v>14.42</v>
      </c>
      <c r="G318" s="1" t="n">
        <v>0.43</v>
      </c>
      <c r="H318" s="1" t="n">
        <v>3.07</v>
      </c>
      <c r="I318" s="1" t="s">
        <v>13</v>
      </c>
      <c r="J318" s="1" t="s">
        <v>1163</v>
      </c>
    </row>
    <row r="319" customFormat="false" ht="13.5" hidden="false" customHeight="true" outlineLevel="0" collapsed="false">
      <c r="A319" s="1" t="s">
        <v>1164</v>
      </c>
      <c r="B319" s="1" t="s">
        <v>1165</v>
      </c>
      <c r="C319" s="1" t="s">
        <v>1166</v>
      </c>
      <c r="D319" s="3" t="n">
        <f aca="false">ROUND((Data!C319-Data!E319)/Data!C319*100,2)</f>
        <v>26.84</v>
      </c>
      <c r="E319" s="1" t="n">
        <v>15.37</v>
      </c>
      <c r="F319" s="1" t="n">
        <v>15.79</v>
      </c>
      <c r="G319" s="1" t="n">
        <v>0.42</v>
      </c>
      <c r="H319" s="1" t="n">
        <v>2.73</v>
      </c>
      <c r="I319" s="1" t="s">
        <v>13</v>
      </c>
      <c r="J319" s="1" t="s">
        <v>1167</v>
      </c>
    </row>
    <row r="320" customFormat="false" ht="13.5" hidden="false" customHeight="true" outlineLevel="0" collapsed="false">
      <c r="A320" s="1" t="s">
        <v>1144</v>
      </c>
      <c r="B320" s="1" t="s">
        <v>1168</v>
      </c>
      <c r="C320" s="1" t="s">
        <v>1169</v>
      </c>
      <c r="D320" s="3" t="n">
        <f aca="false">ROUND((Data!C320-Data!E320)/Data!C320*100,2)</f>
        <v>29.83</v>
      </c>
      <c r="E320" s="1" t="n">
        <v>119.71</v>
      </c>
      <c r="F320" s="1" t="n">
        <v>122.94</v>
      </c>
      <c r="G320" s="1" t="n">
        <v>3.23</v>
      </c>
      <c r="H320" s="1" t="n">
        <v>2.7</v>
      </c>
      <c r="I320" s="1" t="s">
        <v>13</v>
      </c>
      <c r="J320" s="1" t="s">
        <v>1170</v>
      </c>
    </row>
    <row r="321" customFormat="false" ht="13.5" hidden="false" customHeight="true" outlineLevel="0" collapsed="false">
      <c r="A321" s="1" t="s">
        <v>886</v>
      </c>
      <c r="B321" s="1" t="s">
        <v>1171</v>
      </c>
      <c r="C321" s="1" t="s">
        <v>1172</v>
      </c>
      <c r="D321" s="3" t="n">
        <f aca="false">ROUND((Data!C321-Data!E321)/Data!C321*100,2)</f>
        <v>24.91</v>
      </c>
      <c r="E321" s="1" t="n">
        <v>33.81</v>
      </c>
      <c r="F321" s="1" t="n">
        <v>34.7</v>
      </c>
      <c r="G321" s="1" t="n">
        <v>0.89</v>
      </c>
      <c r="H321" s="1" t="n">
        <v>2.63</v>
      </c>
      <c r="I321" s="1" t="s">
        <v>13</v>
      </c>
      <c r="J321" s="1" t="s">
        <v>1173</v>
      </c>
    </row>
    <row r="322" customFormat="false" ht="13.5" hidden="false" customHeight="true" outlineLevel="0" collapsed="false">
      <c r="A322" s="1" t="s">
        <v>1174</v>
      </c>
      <c r="B322" s="1" t="s">
        <v>1175</v>
      </c>
      <c r="C322" s="1" t="s">
        <v>1176</v>
      </c>
      <c r="D322" s="3" t="n">
        <f aca="false">ROUND((Data!C322-Data!E322)/Data!C322*100,2)</f>
        <v>40.56</v>
      </c>
      <c r="E322" s="1" t="n">
        <v>12.4</v>
      </c>
      <c r="F322" s="1" t="n">
        <v>12.72</v>
      </c>
      <c r="G322" s="1" t="n">
        <v>0.32</v>
      </c>
      <c r="H322" s="1" t="n">
        <v>2.58</v>
      </c>
      <c r="I322" s="1" t="s">
        <v>13</v>
      </c>
      <c r="J322" s="1" t="s">
        <v>1177</v>
      </c>
    </row>
    <row r="323" customFormat="false" ht="13.5" hidden="false" customHeight="true" outlineLevel="0" collapsed="false">
      <c r="A323" s="1" t="s">
        <v>1178</v>
      </c>
      <c r="B323" s="1" t="s">
        <v>1179</v>
      </c>
      <c r="C323" s="1" t="s">
        <v>1180</v>
      </c>
      <c r="D323" s="3" t="n">
        <f aca="false">ROUND((Data!C323-Data!E323)/Data!C323*100,2)</f>
        <v>49.67</v>
      </c>
      <c r="E323" s="1" t="n">
        <v>10.42</v>
      </c>
      <c r="F323" s="1" t="n">
        <v>10.67</v>
      </c>
      <c r="G323" s="1" t="n">
        <v>0.25</v>
      </c>
      <c r="H323" s="1" t="n">
        <v>2.4</v>
      </c>
      <c r="I323" s="1" t="s">
        <v>13</v>
      </c>
      <c r="J323" s="1" t="s">
        <v>1181</v>
      </c>
    </row>
    <row r="324" customFormat="false" ht="13.5" hidden="false" customHeight="true" outlineLevel="0" collapsed="false">
      <c r="A324" s="1" t="s">
        <v>1182</v>
      </c>
      <c r="B324" s="1" t="s">
        <v>1183</v>
      </c>
      <c r="C324" s="1" t="s">
        <v>1184</v>
      </c>
      <c r="D324" s="3" t="n">
        <f aca="false">ROUND((Data!C324-Data!E324)/Data!C324*100,2)</f>
        <v>36.39</v>
      </c>
      <c r="E324" s="1" t="n">
        <v>6.93</v>
      </c>
      <c r="F324" s="1" t="n">
        <v>7.09</v>
      </c>
      <c r="G324" s="1" t="n">
        <v>0.16</v>
      </c>
      <c r="H324" s="1" t="n">
        <v>2.31</v>
      </c>
      <c r="I324" s="1" t="s">
        <v>13</v>
      </c>
      <c r="J324" s="1" t="s">
        <v>1185</v>
      </c>
    </row>
    <row r="325" customFormat="false" ht="13.5" hidden="false" customHeight="true" outlineLevel="0" collapsed="false">
      <c r="A325" s="1" t="s">
        <v>324</v>
      </c>
      <c r="B325" s="1" t="s">
        <v>1186</v>
      </c>
      <c r="C325" s="1" t="s">
        <v>1187</v>
      </c>
      <c r="D325" s="3" t="n">
        <f aca="false">ROUND((Data!C325-Data!E325)/Data!C325*100,2)</f>
        <v>29.68</v>
      </c>
      <c r="E325" s="1" t="n">
        <v>38.42</v>
      </c>
      <c r="F325" s="1" t="n">
        <v>39.28</v>
      </c>
      <c r="G325" s="1" t="n">
        <v>0.86</v>
      </c>
      <c r="H325" s="1" t="n">
        <v>2.24</v>
      </c>
      <c r="I325" s="1" t="s">
        <v>13</v>
      </c>
      <c r="J325" s="1" t="s">
        <v>1188</v>
      </c>
    </row>
    <row r="326" customFormat="false" ht="13.5" hidden="false" customHeight="true" outlineLevel="0" collapsed="false">
      <c r="A326" s="1" t="s">
        <v>1189</v>
      </c>
      <c r="B326" s="1" t="s">
        <v>1190</v>
      </c>
      <c r="C326" s="1" t="s">
        <v>1191</v>
      </c>
      <c r="D326" s="3" t="n">
        <f aca="false">ROUND((Data!C326-Data!E326)/Data!C326*100,2)</f>
        <v>21.95</v>
      </c>
      <c r="E326" s="1" t="n">
        <v>7.59</v>
      </c>
      <c r="F326" s="1" t="n">
        <v>7.76</v>
      </c>
      <c r="G326" s="1" t="n">
        <v>0.17</v>
      </c>
      <c r="H326" s="1" t="n">
        <v>2.24</v>
      </c>
      <c r="I326" s="1" t="s">
        <v>13</v>
      </c>
      <c r="J326" s="1" t="s">
        <v>1192</v>
      </c>
    </row>
    <row r="327" customFormat="false" ht="13.5" hidden="false" customHeight="true" outlineLevel="0" collapsed="false">
      <c r="A327" s="1" t="s">
        <v>1193</v>
      </c>
      <c r="B327" s="1" t="s">
        <v>1194</v>
      </c>
      <c r="C327" s="1" t="s">
        <v>1195</v>
      </c>
      <c r="D327" s="3" t="n">
        <f aca="false">ROUND((Data!C327-Data!E327)/Data!C327*100,2)</f>
        <v>23.79</v>
      </c>
      <c r="E327" s="1" t="n">
        <v>234.96</v>
      </c>
      <c r="F327" s="1" t="n">
        <v>239.82</v>
      </c>
      <c r="G327" s="1" t="n">
        <v>4.86</v>
      </c>
      <c r="H327" s="1" t="n">
        <v>2.07</v>
      </c>
      <c r="I327" s="1" t="s">
        <v>13</v>
      </c>
      <c r="J327" s="1" t="s">
        <v>1196</v>
      </c>
    </row>
    <row r="328" customFormat="false" ht="13.5" hidden="false" customHeight="true" outlineLevel="0" collapsed="false">
      <c r="A328" s="1" t="s">
        <v>835</v>
      </c>
      <c r="B328" s="1" t="s">
        <v>1197</v>
      </c>
      <c r="C328" s="1" t="s">
        <v>1198</v>
      </c>
      <c r="D328" s="3" t="n">
        <f aca="false">ROUND((Data!C328-Data!E328)/Data!C328*100,2)</f>
        <v>19.6</v>
      </c>
      <c r="E328" s="1" t="n">
        <v>92.03</v>
      </c>
      <c r="F328" s="1" t="n">
        <v>93.89</v>
      </c>
      <c r="G328" s="1" t="n">
        <v>1.86</v>
      </c>
      <c r="H328" s="1" t="n">
        <v>2.02</v>
      </c>
      <c r="I328" s="1" t="s">
        <v>13</v>
      </c>
      <c r="J328" s="1" t="s">
        <v>1199</v>
      </c>
    </row>
    <row r="329" customFormat="false" ht="13.5" hidden="false" customHeight="true" outlineLevel="0" collapsed="false">
      <c r="A329" s="1" t="s">
        <v>157</v>
      </c>
      <c r="B329" s="1" t="s">
        <v>1200</v>
      </c>
      <c r="C329" s="1" t="s">
        <v>1201</v>
      </c>
      <c r="D329" s="3" t="n">
        <f aca="false">ROUND((Data!C329-Data!E329)/Data!C329*100,2)</f>
        <v>44.03</v>
      </c>
      <c r="E329" s="1" t="n">
        <v>902.01</v>
      </c>
      <c r="F329" s="1" t="n">
        <v>919.87</v>
      </c>
      <c r="G329" s="1" t="n">
        <v>17.86</v>
      </c>
      <c r="H329" s="1" t="n">
        <v>1.98</v>
      </c>
      <c r="I329" s="1" t="s">
        <v>13</v>
      </c>
      <c r="J329" s="1" t="s">
        <v>1202</v>
      </c>
    </row>
    <row r="330" customFormat="false" ht="13.5" hidden="false" customHeight="true" outlineLevel="0" collapsed="false">
      <c r="A330" s="1" t="s">
        <v>1056</v>
      </c>
      <c r="B330" s="1" t="s">
        <v>1203</v>
      </c>
      <c r="C330" s="1" t="s">
        <v>1204</v>
      </c>
      <c r="D330" s="3" t="n">
        <f aca="false">ROUND((Data!C330-Data!E330)/Data!C330*100,2)</f>
        <v>29.01</v>
      </c>
      <c r="E330" s="1" t="n">
        <v>20.94</v>
      </c>
      <c r="F330" s="1" t="n">
        <v>21.33</v>
      </c>
      <c r="G330" s="1" t="n">
        <v>0.39</v>
      </c>
      <c r="H330" s="1" t="n">
        <v>1.86</v>
      </c>
      <c r="I330" s="1" t="s">
        <v>13</v>
      </c>
      <c r="J330" s="1" t="s">
        <v>1205</v>
      </c>
    </row>
    <row r="331" customFormat="false" ht="13.5" hidden="false" customHeight="true" outlineLevel="0" collapsed="false">
      <c r="A331" s="1" t="s">
        <v>1206</v>
      </c>
      <c r="B331" s="1" t="s">
        <v>1207</v>
      </c>
      <c r="C331" s="1" t="s">
        <v>1208</v>
      </c>
      <c r="D331" s="3" t="n">
        <f aca="false">ROUND((Data!C331-Data!E331)/Data!C331*100,2)</f>
        <v>32.38</v>
      </c>
      <c r="E331" s="1" t="n">
        <v>5.36</v>
      </c>
      <c r="F331" s="1" t="n">
        <v>5.45</v>
      </c>
      <c r="G331" s="1" t="n">
        <v>0.09</v>
      </c>
      <c r="H331" s="1" t="n">
        <v>1.68</v>
      </c>
      <c r="I331" s="1" t="s">
        <v>13</v>
      </c>
      <c r="J331" s="1" t="s">
        <v>1209</v>
      </c>
    </row>
    <row r="332" customFormat="false" ht="13.5" hidden="false" customHeight="true" outlineLevel="0" collapsed="false">
      <c r="A332" s="1" t="s">
        <v>1210</v>
      </c>
      <c r="B332" s="1" t="s">
        <v>1211</v>
      </c>
      <c r="C332" s="1" t="s">
        <v>1212</v>
      </c>
      <c r="D332" s="3" t="n">
        <f aca="false">ROUND((Data!C332-Data!E332)/Data!C332*100,2)</f>
        <v>22.89</v>
      </c>
      <c r="E332" s="1" t="n">
        <v>3.57</v>
      </c>
      <c r="F332" s="1" t="n">
        <v>3.63</v>
      </c>
      <c r="G332" s="1" t="n">
        <v>0.06</v>
      </c>
      <c r="H332" s="1" t="n">
        <v>1.68</v>
      </c>
      <c r="I332" s="1" t="s">
        <v>13</v>
      </c>
      <c r="J332" s="1" t="s">
        <v>1213</v>
      </c>
    </row>
    <row r="333" customFormat="false" ht="13.5" hidden="false" customHeight="true" outlineLevel="0" collapsed="false">
      <c r="A333" s="1" t="s">
        <v>1214</v>
      </c>
      <c r="B333" s="1" t="s">
        <v>1215</v>
      </c>
      <c r="C333" s="1" t="s">
        <v>1216</v>
      </c>
      <c r="D333" s="3" t="n">
        <f aca="false">ROUND((Data!C333-Data!E333)/Data!C333*100,2)</f>
        <v>23.23</v>
      </c>
      <c r="E333" s="1" t="n">
        <v>36.43</v>
      </c>
      <c r="F333" s="1" t="n">
        <v>37.04</v>
      </c>
      <c r="G333" s="1" t="n">
        <v>0.61</v>
      </c>
      <c r="H333" s="1" t="n">
        <v>1.67</v>
      </c>
      <c r="I333" s="1" t="s">
        <v>13</v>
      </c>
      <c r="J333" s="1" t="s">
        <v>1217</v>
      </c>
    </row>
    <row r="334" customFormat="false" ht="13.5" hidden="false" customHeight="true" outlineLevel="0" collapsed="false">
      <c r="A334" s="1" t="s">
        <v>1218</v>
      </c>
      <c r="B334" s="1" t="s">
        <v>1219</v>
      </c>
      <c r="C334" s="1" t="s">
        <v>1220</v>
      </c>
      <c r="D334" s="3" t="n">
        <f aca="false">ROUND((Data!C334-Data!E334)/Data!C334*100,2)</f>
        <v>30.91</v>
      </c>
      <c r="E334" s="1" t="n">
        <v>27.58</v>
      </c>
      <c r="F334" s="1" t="n">
        <v>28.02</v>
      </c>
      <c r="G334" s="1" t="n">
        <v>0.44</v>
      </c>
      <c r="H334" s="1" t="n">
        <v>1.6</v>
      </c>
      <c r="I334" s="1" t="s">
        <v>13</v>
      </c>
      <c r="J334" s="1" t="s">
        <v>1221</v>
      </c>
    </row>
    <row r="335" customFormat="false" ht="13.5" hidden="false" customHeight="true" outlineLevel="0" collapsed="false">
      <c r="A335" s="1" t="s">
        <v>518</v>
      </c>
      <c r="B335" s="1" t="s">
        <v>1222</v>
      </c>
      <c r="C335" s="1" t="s">
        <v>1223</v>
      </c>
      <c r="D335" s="3" t="n">
        <f aca="false">ROUND((Data!C335-Data!E335)/Data!C335*100,2)</f>
        <v>33.85</v>
      </c>
      <c r="E335" s="1" t="n">
        <v>16.59</v>
      </c>
      <c r="F335" s="1" t="n">
        <v>16.82</v>
      </c>
      <c r="G335" s="1" t="n">
        <v>0.23</v>
      </c>
      <c r="H335" s="1" t="n">
        <v>1.39</v>
      </c>
      <c r="I335" s="1" t="s">
        <v>13</v>
      </c>
      <c r="J335" s="1" t="s">
        <v>1224</v>
      </c>
    </row>
    <row r="336" customFormat="false" ht="13.5" hidden="false" customHeight="true" outlineLevel="0" collapsed="false">
      <c r="A336" s="1" t="s">
        <v>1225</v>
      </c>
      <c r="B336" s="1" t="s">
        <v>1226</v>
      </c>
      <c r="C336" s="1" t="s">
        <v>1227</v>
      </c>
      <c r="D336" s="3" t="n">
        <f aca="false">ROUND((Data!C336-Data!E336)/Data!C336*100,2)</f>
        <v>34.64</v>
      </c>
      <c r="E336" s="1" t="n">
        <v>346.6</v>
      </c>
      <c r="F336" s="1" t="n">
        <v>351</v>
      </c>
      <c r="G336" s="1" t="n">
        <v>4.4</v>
      </c>
      <c r="H336" s="1" t="n">
        <v>1.27</v>
      </c>
      <c r="I336" s="1" t="s">
        <v>13</v>
      </c>
      <c r="J336" s="1" t="s">
        <v>1228</v>
      </c>
    </row>
    <row r="337" customFormat="false" ht="13.5" hidden="false" customHeight="true" outlineLevel="0" collapsed="false">
      <c r="A337" s="1" t="s">
        <v>1229</v>
      </c>
      <c r="B337" s="1" t="s">
        <v>1230</v>
      </c>
      <c r="C337" s="1" t="s">
        <v>1231</v>
      </c>
      <c r="D337" s="3" t="n">
        <f aca="false">ROUND((Data!C337-Data!E337)/Data!C337*100,2)</f>
        <v>29.87</v>
      </c>
      <c r="E337" s="1" t="n">
        <v>54.26</v>
      </c>
      <c r="F337" s="1" t="n">
        <v>54.94</v>
      </c>
      <c r="G337" s="1" t="n">
        <v>0.68</v>
      </c>
      <c r="H337" s="1" t="n">
        <v>1.25</v>
      </c>
      <c r="I337" s="1" t="s">
        <v>13</v>
      </c>
      <c r="J337" s="1" t="s">
        <v>1232</v>
      </c>
    </row>
    <row r="338" customFormat="false" ht="13.5" hidden="false" customHeight="true" outlineLevel="0" collapsed="false">
      <c r="A338" s="1" t="s">
        <v>1233</v>
      </c>
      <c r="B338" s="1" t="s">
        <v>1234</v>
      </c>
      <c r="C338" s="1" t="s">
        <v>1235</v>
      </c>
      <c r="D338" s="3" t="n">
        <f aca="false">ROUND((Data!C338-Data!E338)/Data!C338*100,2)</f>
        <v>26.62</v>
      </c>
      <c r="E338" s="1" t="n">
        <v>52.6</v>
      </c>
      <c r="F338" s="1" t="n">
        <v>53.18</v>
      </c>
      <c r="G338" s="1" t="n">
        <v>0.58</v>
      </c>
      <c r="H338" s="1" t="n">
        <v>1.1</v>
      </c>
      <c r="I338" s="1" t="s">
        <v>13</v>
      </c>
      <c r="J338" s="1" t="s">
        <v>1236</v>
      </c>
    </row>
    <row r="339" customFormat="false" ht="13.5" hidden="false" customHeight="true" outlineLevel="0" collapsed="false">
      <c r="A339" s="1" t="s">
        <v>1237</v>
      </c>
      <c r="B339" s="1" t="s">
        <v>1238</v>
      </c>
      <c r="C339" s="1" t="s">
        <v>1239</v>
      </c>
      <c r="D339" s="3" t="n">
        <f aca="false">ROUND((Data!C339-Data!E339)/Data!C339*100,2)</f>
        <v>21.4</v>
      </c>
      <c r="E339" s="1" t="n">
        <v>22.36</v>
      </c>
      <c r="F339" s="1" t="n">
        <v>22.59</v>
      </c>
      <c r="G339" s="1" t="n">
        <v>0.23</v>
      </c>
      <c r="H339" s="1" t="n">
        <v>1.03</v>
      </c>
      <c r="I339" s="1" t="s">
        <v>13</v>
      </c>
      <c r="J339" s="1" t="s">
        <v>1240</v>
      </c>
    </row>
    <row r="340" customFormat="false" ht="13.5" hidden="false" customHeight="true" outlineLevel="0" collapsed="false">
      <c r="A340" s="1" t="s">
        <v>1144</v>
      </c>
      <c r="B340" s="1" t="s">
        <v>1241</v>
      </c>
      <c r="C340" s="1" t="s">
        <v>1242</v>
      </c>
      <c r="D340" s="3" t="n">
        <f aca="false">ROUND((Data!C340-Data!E340)/Data!C340*100,2)</f>
        <v>21.32</v>
      </c>
      <c r="E340" s="1" t="n">
        <v>39.55</v>
      </c>
      <c r="F340" s="1" t="n">
        <v>39.92</v>
      </c>
      <c r="G340" s="1" t="n">
        <v>0.37</v>
      </c>
      <c r="H340" s="1" t="n">
        <v>0.94</v>
      </c>
      <c r="I340" s="1" t="s">
        <v>13</v>
      </c>
      <c r="J340" s="1" t="s">
        <v>1243</v>
      </c>
    </row>
    <row r="341" customFormat="false" ht="13.5" hidden="false" customHeight="true" outlineLevel="0" collapsed="false">
      <c r="A341" s="1" t="s">
        <v>1244</v>
      </c>
      <c r="B341" s="1" t="s">
        <v>1245</v>
      </c>
      <c r="C341" s="1" t="s">
        <v>1246</v>
      </c>
      <c r="D341" s="3" t="n">
        <f aca="false">ROUND((Data!C341-Data!E341)/Data!C341*100,2)</f>
        <v>42.38</v>
      </c>
      <c r="E341" s="1" t="n">
        <v>256.98</v>
      </c>
      <c r="F341" s="1" t="n">
        <v>259.3</v>
      </c>
      <c r="G341" s="1" t="n">
        <v>2.32</v>
      </c>
      <c r="H341" s="1" t="n">
        <v>0.9</v>
      </c>
      <c r="I341" s="1" t="s">
        <v>13</v>
      </c>
      <c r="J341" s="1" t="s">
        <v>1247</v>
      </c>
    </row>
    <row r="342" customFormat="false" ht="13.5" hidden="false" customHeight="true" outlineLevel="0" collapsed="false">
      <c r="A342" s="1" t="s">
        <v>1248</v>
      </c>
      <c r="B342" s="1" t="s">
        <v>1249</v>
      </c>
      <c r="C342" s="1" t="s">
        <v>1250</v>
      </c>
      <c r="D342" s="3" t="n">
        <f aca="false">ROUND((Data!C342-Data!E342)/Data!C342*100,2)</f>
        <v>26.16</v>
      </c>
      <c r="E342" s="1" t="n">
        <v>64.06</v>
      </c>
      <c r="F342" s="1" t="n">
        <v>64.6</v>
      </c>
      <c r="G342" s="1" t="n">
        <v>0.54</v>
      </c>
      <c r="H342" s="1" t="n">
        <v>0.84</v>
      </c>
      <c r="I342" s="1" t="s">
        <v>13</v>
      </c>
      <c r="J342" s="1" t="s">
        <v>1251</v>
      </c>
    </row>
    <row r="343" customFormat="false" ht="13.5" hidden="false" customHeight="true" outlineLevel="0" collapsed="false">
      <c r="A343" s="1" t="s">
        <v>1252</v>
      </c>
      <c r="B343" s="1" t="s">
        <v>1253</v>
      </c>
      <c r="C343" s="1" t="s">
        <v>1254</v>
      </c>
      <c r="D343" s="3" t="n">
        <f aca="false">ROUND((Data!C343-Data!E343)/Data!C343*100,2)</f>
        <v>27.73</v>
      </c>
      <c r="E343" s="1" t="n">
        <v>23.1</v>
      </c>
      <c r="F343" s="1" t="n">
        <v>23.29</v>
      </c>
      <c r="G343" s="1" t="n">
        <v>0.19</v>
      </c>
      <c r="H343" s="1" t="n">
        <v>0.82</v>
      </c>
      <c r="I343" s="1" t="s">
        <v>13</v>
      </c>
      <c r="J343" s="1" t="s">
        <v>1255</v>
      </c>
    </row>
    <row r="344" customFormat="false" ht="13.5" hidden="false" customHeight="true" outlineLevel="0" collapsed="false">
      <c r="A344" s="1" t="s">
        <v>1144</v>
      </c>
      <c r="B344" s="1" t="s">
        <v>1256</v>
      </c>
      <c r="C344" s="1" t="s">
        <v>1257</v>
      </c>
      <c r="D344" s="3" t="n">
        <f aca="false">ROUND((Data!C344-Data!E344)/Data!C344*100,2)</f>
        <v>32.07</v>
      </c>
      <c r="E344" s="1" t="n">
        <v>7.44</v>
      </c>
      <c r="F344" s="1" t="n">
        <v>7.5</v>
      </c>
      <c r="G344" s="1" t="n">
        <v>0.06</v>
      </c>
      <c r="H344" s="1" t="n">
        <v>0.81</v>
      </c>
      <c r="I344" s="1" t="s">
        <v>13</v>
      </c>
      <c r="J344" s="1" t="s">
        <v>1258</v>
      </c>
    </row>
    <row r="345" customFormat="false" ht="13.5" hidden="false" customHeight="true" outlineLevel="0" collapsed="false">
      <c r="A345" s="1" t="s">
        <v>1259</v>
      </c>
      <c r="B345" s="1" t="s">
        <v>1260</v>
      </c>
      <c r="C345" s="1" t="s">
        <v>1261</v>
      </c>
      <c r="D345" s="3" t="n">
        <f aca="false">ROUND((Data!C345-Data!E345)/Data!C345*100,2)</f>
        <v>27.9</v>
      </c>
      <c r="E345" s="1" t="n">
        <v>29.95</v>
      </c>
      <c r="F345" s="1" t="n">
        <v>30.15</v>
      </c>
      <c r="G345" s="1" t="n">
        <v>0.2</v>
      </c>
      <c r="H345" s="1" t="n">
        <v>0.67</v>
      </c>
      <c r="I345" s="1" t="s">
        <v>13</v>
      </c>
      <c r="J345" s="1" t="s">
        <v>1262</v>
      </c>
    </row>
    <row r="346" customFormat="false" ht="13.5" hidden="false" customHeight="true" outlineLevel="0" collapsed="false">
      <c r="A346" s="1" t="s">
        <v>366</v>
      </c>
      <c r="B346" s="1" t="s">
        <v>1263</v>
      </c>
      <c r="C346" s="1" t="s">
        <v>1264</v>
      </c>
      <c r="D346" s="3" t="n">
        <f aca="false">ROUND((Data!C346-Data!E346)/Data!C346*100,2)</f>
        <v>28.53</v>
      </c>
      <c r="E346" s="1" t="n">
        <v>81.28</v>
      </c>
      <c r="F346" s="1" t="n">
        <v>81.81</v>
      </c>
      <c r="G346" s="1" t="n">
        <v>0.53</v>
      </c>
      <c r="H346" s="1" t="n">
        <v>0.65</v>
      </c>
      <c r="I346" s="1" t="s">
        <v>13</v>
      </c>
      <c r="J346" s="1" t="s">
        <v>1265</v>
      </c>
    </row>
    <row r="347" customFormat="false" ht="13.5" hidden="false" customHeight="true" outlineLevel="0" collapsed="false">
      <c r="A347" s="1" t="s">
        <v>1266</v>
      </c>
      <c r="B347" s="1" t="s">
        <v>1267</v>
      </c>
      <c r="C347" s="1" t="s">
        <v>1268</v>
      </c>
      <c r="D347" s="3" t="n">
        <f aca="false">ROUND((Data!C347-Data!E347)/Data!C347*100,2)</f>
        <v>29.78</v>
      </c>
      <c r="E347" s="1" t="n">
        <v>20.7</v>
      </c>
      <c r="F347" s="1" t="n">
        <v>20.83</v>
      </c>
      <c r="G347" s="1" t="n">
        <v>0.13</v>
      </c>
      <c r="H347" s="1" t="n">
        <v>0.63</v>
      </c>
      <c r="I347" s="1" t="s">
        <v>13</v>
      </c>
      <c r="J347" s="1" t="s">
        <v>1269</v>
      </c>
    </row>
    <row r="348" customFormat="false" ht="13.5" hidden="false" customHeight="true" outlineLevel="0" collapsed="false">
      <c r="A348" s="1" t="s">
        <v>1270</v>
      </c>
      <c r="B348" s="1" t="s">
        <v>1271</v>
      </c>
      <c r="C348" s="1" t="s">
        <v>1272</v>
      </c>
      <c r="D348" s="3" t="n">
        <f aca="false">ROUND((Data!C348-Data!E348)/Data!C348*100,2)</f>
        <v>21.1</v>
      </c>
      <c r="E348" s="1" t="n">
        <v>8.04</v>
      </c>
      <c r="F348" s="1" t="n">
        <v>8.09</v>
      </c>
      <c r="G348" s="1" t="n">
        <v>0.05</v>
      </c>
      <c r="H348" s="1" t="n">
        <v>0.62</v>
      </c>
      <c r="I348" s="1" t="s">
        <v>13</v>
      </c>
      <c r="J348" s="1" t="s">
        <v>1273</v>
      </c>
    </row>
    <row r="349" customFormat="false" ht="13.5" hidden="false" customHeight="true" outlineLevel="0" collapsed="false">
      <c r="A349" s="1" t="s">
        <v>1274</v>
      </c>
      <c r="B349" s="1" t="s">
        <v>1275</v>
      </c>
      <c r="C349" s="1" t="s">
        <v>1276</v>
      </c>
      <c r="D349" s="3" t="n">
        <f aca="false">ROUND((Data!C349-Data!E349)/Data!C349*100,2)</f>
        <v>20.28</v>
      </c>
      <c r="E349" s="1" t="n">
        <v>25.22</v>
      </c>
      <c r="F349" s="1" t="n">
        <v>25.35</v>
      </c>
      <c r="G349" s="1" t="n">
        <v>0.13</v>
      </c>
      <c r="H349" s="1" t="n">
        <v>0.52</v>
      </c>
      <c r="I349" s="1" t="s">
        <v>13</v>
      </c>
      <c r="J349" s="1" t="s">
        <v>1277</v>
      </c>
    </row>
    <row r="350" customFormat="false" ht="13.5" hidden="false" customHeight="true" outlineLevel="0" collapsed="false">
      <c r="A350" s="1" t="s">
        <v>1278</v>
      </c>
      <c r="B350" s="1" t="s">
        <v>1279</v>
      </c>
      <c r="C350" s="1" t="s">
        <v>1280</v>
      </c>
      <c r="D350" s="3" t="n">
        <f aca="false">ROUND((Data!C350-Data!E350)/Data!C350*100,2)</f>
        <v>19.4</v>
      </c>
      <c r="E350" s="1" t="n">
        <v>13.52</v>
      </c>
      <c r="F350" s="1" t="n">
        <v>13.59</v>
      </c>
      <c r="G350" s="1" t="n">
        <v>0.07</v>
      </c>
      <c r="H350" s="1" t="n">
        <v>0.52</v>
      </c>
      <c r="I350" s="1" t="s">
        <v>13</v>
      </c>
      <c r="J350" s="1" t="s">
        <v>1281</v>
      </c>
    </row>
    <row r="351" customFormat="false" ht="13.5" hidden="false" customHeight="true" outlineLevel="0" collapsed="false">
      <c r="A351" s="1" t="s">
        <v>1282</v>
      </c>
      <c r="B351" s="1" t="s">
        <v>1283</v>
      </c>
      <c r="C351" s="1" t="s">
        <v>1284</v>
      </c>
      <c r="D351" s="3" t="n">
        <f aca="false">ROUND((Data!C351-Data!E351)/Data!C351*100,2)</f>
        <v>28.17</v>
      </c>
      <c r="E351" s="1" t="n">
        <v>104.71</v>
      </c>
      <c r="F351" s="1" t="n">
        <v>105.25</v>
      </c>
      <c r="G351" s="1" t="n">
        <v>0.54</v>
      </c>
      <c r="H351" s="1" t="n">
        <v>0.52</v>
      </c>
      <c r="I351" s="1" t="s">
        <v>13</v>
      </c>
      <c r="J351" s="1" t="s">
        <v>1285</v>
      </c>
    </row>
    <row r="352" customFormat="false" ht="13.5" hidden="false" customHeight="true" outlineLevel="0" collapsed="false">
      <c r="A352" s="1" t="s">
        <v>886</v>
      </c>
      <c r="B352" s="1" t="s">
        <v>1286</v>
      </c>
      <c r="C352" s="1" t="s">
        <v>1287</v>
      </c>
      <c r="D352" s="3" t="n">
        <f aca="false">ROUND((Data!C352-Data!E352)/Data!C352*100,2)</f>
        <v>40.6</v>
      </c>
      <c r="E352" s="1" t="n">
        <v>118</v>
      </c>
      <c r="F352" s="1" t="n">
        <v>118.17</v>
      </c>
      <c r="G352" s="1" t="n">
        <v>0.17</v>
      </c>
      <c r="H352" s="1" t="n">
        <v>0.14</v>
      </c>
      <c r="I352" s="1" t="s">
        <v>13</v>
      </c>
      <c r="J352" s="1" t="s">
        <v>1288</v>
      </c>
    </row>
    <row r="353" customFormat="false" ht="13.5" hidden="false" customHeight="true" outlineLevel="0" collapsed="false">
      <c r="A353" s="1" t="s">
        <v>1289</v>
      </c>
      <c r="B353" s="1" t="s">
        <v>1290</v>
      </c>
      <c r="C353" s="1" t="s">
        <v>1291</v>
      </c>
      <c r="D353" s="3" t="n">
        <f aca="false">ROUND((Data!C353-Data!E353)/Data!C353*100,2)</f>
        <v>36.56</v>
      </c>
      <c r="E353" s="1" t="n">
        <v>42.45</v>
      </c>
      <c r="F353" s="1" t="n">
        <v>42.4</v>
      </c>
      <c r="G353" s="1" t="n">
        <v>-0.05</v>
      </c>
      <c r="H353" s="1" t="n">
        <v>-0.12</v>
      </c>
      <c r="I353" s="1" t="s">
        <v>13</v>
      </c>
      <c r="J353" s="1" t="s">
        <v>1292</v>
      </c>
    </row>
    <row r="354" customFormat="false" ht="13.5" hidden="false" customHeight="true" outlineLevel="0" collapsed="false">
      <c r="A354" s="1" t="s">
        <v>328</v>
      </c>
      <c r="B354" s="1" t="s">
        <v>1293</v>
      </c>
      <c r="C354" s="1" t="s">
        <v>1294</v>
      </c>
      <c r="D354" s="3" t="n">
        <f aca="false">ROUND((Data!C354-Data!E354)/Data!C354*100,2)</f>
        <v>28.44</v>
      </c>
      <c r="E354" s="1" t="n">
        <v>22.8</v>
      </c>
      <c r="F354" s="1" t="n">
        <v>22.76</v>
      </c>
      <c r="G354" s="1" t="n">
        <v>-0.04</v>
      </c>
      <c r="H354" s="1" t="n">
        <v>-0.18</v>
      </c>
      <c r="I354" s="1" t="s">
        <v>13</v>
      </c>
      <c r="J354" s="1" t="s">
        <v>1295</v>
      </c>
    </row>
    <row r="355" customFormat="false" ht="13.5" hidden="false" customHeight="true" outlineLevel="0" collapsed="false">
      <c r="A355" s="1" t="s">
        <v>1296</v>
      </c>
      <c r="B355" s="1" t="s">
        <v>1297</v>
      </c>
      <c r="C355" s="1" t="s">
        <v>1298</v>
      </c>
      <c r="D355" s="3" t="n">
        <f aca="false">ROUND((Data!C355-Data!E355)/Data!C355*100,2)</f>
        <v>34.5</v>
      </c>
      <c r="E355" s="1" t="n">
        <v>238.95</v>
      </c>
      <c r="F355" s="1" t="n">
        <v>238.35</v>
      </c>
      <c r="G355" s="1" t="n">
        <v>-0.6</v>
      </c>
      <c r="H355" s="1" t="n">
        <v>-0.25</v>
      </c>
      <c r="I355" s="1" t="s">
        <v>13</v>
      </c>
      <c r="J355" s="1" t="s">
        <v>1299</v>
      </c>
    </row>
    <row r="356" customFormat="false" ht="13.5" hidden="false" customHeight="true" outlineLevel="0" collapsed="false">
      <c r="A356" s="1" t="s">
        <v>868</v>
      </c>
      <c r="B356" s="1" t="s">
        <v>1300</v>
      </c>
      <c r="C356" s="1" t="s">
        <v>1301</v>
      </c>
      <c r="D356" s="3" t="n">
        <f aca="false">ROUND((Data!C356-Data!E356)/Data!C356*100,2)</f>
        <v>25.29</v>
      </c>
      <c r="E356" s="1" t="n">
        <v>97.4</v>
      </c>
      <c r="F356" s="1" t="n">
        <v>97.15</v>
      </c>
      <c r="G356" s="1" t="n">
        <v>-0.25</v>
      </c>
      <c r="H356" s="1" t="n">
        <v>-0.26</v>
      </c>
      <c r="I356" s="1" t="s">
        <v>13</v>
      </c>
      <c r="J356" s="1" t="s">
        <v>1302</v>
      </c>
    </row>
    <row r="357" customFormat="false" ht="13.5" hidden="false" customHeight="true" outlineLevel="0" collapsed="false">
      <c r="A357" s="1" t="s">
        <v>1144</v>
      </c>
      <c r="B357" s="1" t="s">
        <v>1303</v>
      </c>
      <c r="C357" s="1" t="s">
        <v>1304</v>
      </c>
      <c r="D357" s="3" t="n">
        <f aca="false">ROUND((Data!C357-Data!E357)/Data!C357*100,2)</f>
        <v>19.91</v>
      </c>
      <c r="E357" s="1" t="n">
        <v>27.03</v>
      </c>
      <c r="F357" s="1" t="n">
        <v>26.96</v>
      </c>
      <c r="G357" s="1" t="n">
        <v>-0.07</v>
      </c>
      <c r="H357" s="1" t="n">
        <v>-0.26</v>
      </c>
      <c r="I357" s="1" t="s">
        <v>13</v>
      </c>
      <c r="J357" s="1" t="s">
        <v>1305</v>
      </c>
    </row>
    <row r="358" customFormat="false" ht="13.5" hidden="false" customHeight="true" outlineLevel="0" collapsed="false">
      <c r="A358" s="1" t="s">
        <v>697</v>
      </c>
      <c r="B358" s="1" t="s">
        <v>1306</v>
      </c>
      <c r="C358" s="1" t="s">
        <v>1307</v>
      </c>
      <c r="D358" s="3" t="n">
        <f aca="false">ROUND((Data!C358-Data!E358)/Data!C358*100,2)</f>
        <v>22.89</v>
      </c>
      <c r="E358" s="1" t="n">
        <v>35.51</v>
      </c>
      <c r="F358" s="1" t="n">
        <v>35.41</v>
      </c>
      <c r="G358" s="1" t="n">
        <v>-0.1</v>
      </c>
      <c r="H358" s="1" t="n">
        <v>-0.28</v>
      </c>
      <c r="I358" s="1" t="s">
        <v>13</v>
      </c>
      <c r="J358" s="1" t="s">
        <v>1308</v>
      </c>
    </row>
    <row r="359" customFormat="false" ht="13.5" hidden="false" customHeight="true" outlineLevel="0" collapsed="false">
      <c r="A359" s="1" t="s">
        <v>1309</v>
      </c>
      <c r="B359" s="1" t="s">
        <v>1310</v>
      </c>
      <c r="C359" s="1" t="s">
        <v>1311</v>
      </c>
      <c r="D359" s="3" t="n">
        <f aca="false">ROUND((Data!C359-Data!E359)/Data!C359*100,2)</f>
        <v>40.14</v>
      </c>
      <c r="E359" s="1" t="n">
        <v>136.88</v>
      </c>
      <c r="F359" s="1" t="n">
        <v>136.21</v>
      </c>
      <c r="G359" s="1" t="n">
        <v>-0.67</v>
      </c>
      <c r="H359" s="1" t="n">
        <v>-0.49</v>
      </c>
      <c r="I359" s="1" t="s">
        <v>13</v>
      </c>
      <c r="J359" s="1" t="s">
        <v>1312</v>
      </c>
    </row>
    <row r="360" customFormat="false" ht="13.5" hidden="false" customHeight="true" outlineLevel="0" collapsed="false">
      <c r="A360" s="1" t="s">
        <v>377</v>
      </c>
      <c r="B360" s="1" t="s">
        <v>1313</v>
      </c>
      <c r="C360" s="1" t="s">
        <v>1314</v>
      </c>
      <c r="D360" s="3" t="n">
        <f aca="false">ROUND((Data!C360-Data!E360)/Data!C360*100,2)</f>
        <v>29.32</v>
      </c>
      <c r="E360" s="1" t="n">
        <v>57.48</v>
      </c>
      <c r="F360" s="1" t="n">
        <v>56.99</v>
      </c>
      <c r="G360" s="1" t="n">
        <v>-0.49</v>
      </c>
      <c r="H360" s="1" t="n">
        <v>-0.85</v>
      </c>
      <c r="I360" s="1" t="s">
        <v>13</v>
      </c>
      <c r="J360" s="1" t="s">
        <v>1315</v>
      </c>
    </row>
    <row r="361" customFormat="false" ht="13.5" hidden="false" customHeight="true" outlineLevel="0" collapsed="false">
      <c r="A361" s="1" t="s">
        <v>328</v>
      </c>
      <c r="B361" s="1" t="s">
        <v>1316</v>
      </c>
      <c r="C361" s="1" t="s">
        <v>1317</v>
      </c>
      <c r="D361" s="3" t="n">
        <f aca="false">ROUND((Data!C361-Data!E361)/Data!C361*100,2)</f>
        <v>14.92</v>
      </c>
      <c r="E361" s="1" t="n">
        <v>24.35</v>
      </c>
      <c r="F361" s="1" t="n">
        <v>24.12</v>
      </c>
      <c r="G361" s="1" t="n">
        <v>-0.23</v>
      </c>
      <c r="H361" s="1" t="n">
        <v>-0.94</v>
      </c>
      <c r="I361" s="1" t="s">
        <v>13</v>
      </c>
      <c r="J361" s="1" t="s">
        <v>1318</v>
      </c>
    </row>
    <row r="362" customFormat="false" ht="13.5" hidden="false" customHeight="true" outlineLevel="0" collapsed="false">
      <c r="A362" s="1" t="s">
        <v>1274</v>
      </c>
      <c r="B362" s="1" t="s">
        <v>1319</v>
      </c>
      <c r="C362" s="1" t="s">
        <v>1320</v>
      </c>
      <c r="D362" s="3" t="n">
        <f aca="false">ROUND((Data!C362-Data!E362)/Data!C362*100,2)</f>
        <v>43.51</v>
      </c>
      <c r="E362" s="1" t="n">
        <v>9.02</v>
      </c>
      <c r="F362" s="1" t="n">
        <v>8.92</v>
      </c>
      <c r="G362" s="1" t="n">
        <v>-0.1</v>
      </c>
      <c r="H362" s="1" t="n">
        <v>-1.11</v>
      </c>
      <c r="I362" s="1" t="s">
        <v>13</v>
      </c>
      <c r="J362" s="1" t="s">
        <v>1321</v>
      </c>
    </row>
    <row r="363" customFormat="false" ht="13.5" hidden="false" customHeight="true" outlineLevel="0" collapsed="false">
      <c r="A363" s="1" t="s">
        <v>1322</v>
      </c>
      <c r="B363" s="1" t="s">
        <v>1323</v>
      </c>
      <c r="C363" s="1" t="s">
        <v>1324</v>
      </c>
      <c r="D363" s="3" t="n">
        <f aca="false">ROUND((Data!C363-Data!E363)/Data!C363*100,2)</f>
        <v>53.25</v>
      </c>
      <c r="E363" s="1" t="n">
        <v>0.88</v>
      </c>
      <c r="F363" s="1" t="n">
        <v>0.87</v>
      </c>
      <c r="G363" s="1" t="n">
        <v>-0.01</v>
      </c>
      <c r="H363" s="1" t="n">
        <v>-1.14</v>
      </c>
      <c r="I363" s="1" t="s">
        <v>13</v>
      </c>
      <c r="J363" s="1" t="s">
        <v>1325</v>
      </c>
    </row>
    <row r="364" customFormat="false" ht="13.5" hidden="false" customHeight="true" outlineLevel="0" collapsed="false">
      <c r="A364" s="1" t="s">
        <v>1326</v>
      </c>
      <c r="B364" s="1" t="s">
        <v>1327</v>
      </c>
      <c r="C364" s="1" t="s">
        <v>1328</v>
      </c>
      <c r="D364" s="3" t="n">
        <f aca="false">ROUND((Data!C364-Data!E364)/Data!C364*100,2)</f>
        <v>29.1</v>
      </c>
      <c r="E364" s="1" t="n">
        <v>269.58</v>
      </c>
      <c r="F364" s="1" t="n">
        <v>265.65</v>
      </c>
      <c r="G364" s="1" t="n">
        <v>-3.93</v>
      </c>
      <c r="H364" s="1" t="n">
        <v>-1.46</v>
      </c>
      <c r="I364" s="1" t="s">
        <v>13</v>
      </c>
      <c r="J364" s="1" t="s">
        <v>1329</v>
      </c>
    </row>
    <row r="365" customFormat="false" ht="13.5" hidden="false" customHeight="true" outlineLevel="0" collapsed="false">
      <c r="A365" s="1" t="s">
        <v>1330</v>
      </c>
      <c r="B365" s="1" t="s">
        <v>1331</v>
      </c>
      <c r="C365" s="1" t="s">
        <v>1332</v>
      </c>
      <c r="D365" s="3" t="n">
        <f aca="false">ROUND((Data!C365-Data!E365)/Data!C365*100,2)</f>
        <v>17.91</v>
      </c>
      <c r="E365" s="1" t="n">
        <v>18.59</v>
      </c>
      <c r="F365" s="1" t="n">
        <v>18.26</v>
      </c>
      <c r="G365" s="1" t="n">
        <v>-0.33</v>
      </c>
      <c r="H365" s="1" t="n">
        <v>-1.78</v>
      </c>
      <c r="I365" s="1" t="s">
        <v>13</v>
      </c>
      <c r="J365" s="1" t="s">
        <v>1333</v>
      </c>
    </row>
    <row r="366" customFormat="false" ht="13.5" hidden="false" customHeight="true" outlineLevel="0" collapsed="false">
      <c r="A366" s="1" t="s">
        <v>1334</v>
      </c>
      <c r="B366" s="1" t="s">
        <v>1335</v>
      </c>
      <c r="C366" s="1" t="s">
        <v>1336</v>
      </c>
      <c r="D366" s="3" t="n">
        <f aca="false">ROUND((Data!C366-Data!E366)/Data!C366*100,2)</f>
        <v>20.18</v>
      </c>
      <c r="E366" s="1" t="n">
        <v>14.03</v>
      </c>
      <c r="F366" s="1" t="n">
        <v>13.78</v>
      </c>
      <c r="G366" s="1" t="n">
        <v>-0.25</v>
      </c>
      <c r="H366" s="1" t="n">
        <v>-1.78</v>
      </c>
      <c r="I366" s="1" t="s">
        <v>13</v>
      </c>
      <c r="J366" s="1" t="s">
        <v>1337</v>
      </c>
    </row>
    <row r="367" customFormat="false" ht="13.5" hidden="false" customHeight="true" outlineLevel="0" collapsed="false">
      <c r="A367" s="1" t="s">
        <v>1338</v>
      </c>
      <c r="B367" s="1" t="s">
        <v>1339</v>
      </c>
      <c r="C367" s="1" t="s">
        <v>1340</v>
      </c>
      <c r="D367" s="3" t="n">
        <f aca="false">ROUND((Data!C367-Data!E367)/Data!C367*100,2)</f>
        <v>21.01</v>
      </c>
      <c r="E367" s="1" t="n">
        <v>395.3</v>
      </c>
      <c r="F367" s="1" t="n">
        <v>388.07</v>
      </c>
      <c r="G367" s="1" t="n">
        <v>-7.23</v>
      </c>
      <c r="H367" s="1" t="n">
        <v>-1.83</v>
      </c>
      <c r="I367" s="1" t="s">
        <v>13</v>
      </c>
      <c r="J367" s="1" t="s">
        <v>1341</v>
      </c>
    </row>
    <row r="368" customFormat="false" ht="13.5" hidden="false" customHeight="true" outlineLevel="0" collapsed="false">
      <c r="A368" s="1" t="s">
        <v>1342</v>
      </c>
      <c r="B368" s="1" t="s">
        <v>1343</v>
      </c>
      <c r="C368" s="1" t="s">
        <v>1344</v>
      </c>
      <c r="D368" s="3" t="n">
        <f aca="false">ROUND((Data!C368-Data!E368)/Data!C368*100,2)</f>
        <v>43.7</v>
      </c>
      <c r="E368" s="1" t="n">
        <v>14.65</v>
      </c>
      <c r="F368" s="1" t="n">
        <v>14.33</v>
      </c>
      <c r="G368" s="1" t="n">
        <v>-0.32</v>
      </c>
      <c r="H368" s="1" t="n">
        <v>-2.18</v>
      </c>
      <c r="I368" s="1" t="s">
        <v>13</v>
      </c>
      <c r="J368" s="1" t="s">
        <v>1345</v>
      </c>
    </row>
    <row r="369" customFormat="false" ht="13.5" hidden="false" customHeight="true" outlineLevel="0" collapsed="false">
      <c r="A369" s="1" t="s">
        <v>1346</v>
      </c>
      <c r="B369" s="1" t="s">
        <v>1347</v>
      </c>
      <c r="C369" s="1" t="s">
        <v>1348</v>
      </c>
      <c r="D369" s="3" t="n">
        <f aca="false">ROUND((Data!C369-Data!E369)/Data!C369*100,2)</f>
        <v>16.88</v>
      </c>
      <c r="E369" s="1" t="n">
        <v>115.52</v>
      </c>
      <c r="F369" s="1" t="n">
        <v>112.55</v>
      </c>
      <c r="G369" s="1" t="n">
        <v>-2.97</v>
      </c>
      <c r="H369" s="1" t="n">
        <v>-2.57</v>
      </c>
      <c r="I369" s="1" t="s">
        <v>13</v>
      </c>
      <c r="J369" s="1" t="s">
        <v>1349</v>
      </c>
    </row>
    <row r="370" customFormat="false" ht="13.5" hidden="false" customHeight="true" outlineLevel="0" collapsed="false">
      <c r="A370" s="1" t="s">
        <v>1350</v>
      </c>
      <c r="B370" s="1" t="s">
        <v>1351</v>
      </c>
      <c r="C370" s="1" t="s">
        <v>1352</v>
      </c>
      <c r="D370" s="3" t="n">
        <f aca="false">ROUND((Data!C370-Data!E370)/Data!C370*100,2)</f>
        <v>31.55</v>
      </c>
      <c r="E370" s="1" t="n">
        <v>19.05</v>
      </c>
      <c r="F370" s="1" t="n">
        <v>18.48</v>
      </c>
      <c r="G370" s="1" t="n">
        <v>-0.57</v>
      </c>
      <c r="H370" s="1" t="n">
        <v>-2.99</v>
      </c>
      <c r="I370" s="1" t="s">
        <v>13</v>
      </c>
      <c r="J370" s="1" t="s">
        <v>1353</v>
      </c>
    </row>
    <row r="371" customFormat="false" ht="13.5" hidden="false" customHeight="true" outlineLevel="0" collapsed="false">
      <c r="A371" s="1" t="s">
        <v>506</v>
      </c>
      <c r="B371" s="1" t="s">
        <v>1354</v>
      </c>
      <c r="C371" s="1" t="s">
        <v>1355</v>
      </c>
      <c r="D371" s="3" t="n">
        <f aca="false">ROUND((Data!C371-Data!E371)/Data!C371*100,2)</f>
        <v>55.16</v>
      </c>
      <c r="E371" s="1" t="n">
        <v>8.75</v>
      </c>
      <c r="F371" s="1" t="n">
        <v>8.46</v>
      </c>
      <c r="G371" s="1" t="n">
        <v>-0.29</v>
      </c>
      <c r="H371" s="1" t="n">
        <v>-3.31</v>
      </c>
      <c r="I371" s="1" t="s">
        <v>13</v>
      </c>
      <c r="J371" s="1" t="s">
        <v>1356</v>
      </c>
    </row>
    <row r="372" customFormat="false" ht="13.5" hidden="false" customHeight="true" outlineLevel="0" collapsed="false">
      <c r="A372" s="1" t="s">
        <v>169</v>
      </c>
      <c r="B372" s="1" t="s">
        <v>1357</v>
      </c>
      <c r="C372" s="1" t="s">
        <v>1358</v>
      </c>
      <c r="D372" s="3" t="n">
        <f aca="false">ROUND((Data!C372-Data!E372)/Data!C372*100,2)</f>
        <v>19.9</v>
      </c>
      <c r="E372" s="1" t="n">
        <v>108.45</v>
      </c>
      <c r="F372" s="1" t="n">
        <v>104</v>
      </c>
      <c r="G372" s="1" t="n">
        <v>-4.45</v>
      </c>
      <c r="H372" s="1" t="n">
        <v>-4.1</v>
      </c>
      <c r="I372" s="1" t="s">
        <v>13</v>
      </c>
      <c r="J372" s="1" t="s">
        <v>1359</v>
      </c>
    </row>
    <row r="373" customFormat="false" ht="13.5" hidden="false" customHeight="true" outlineLevel="0" collapsed="false">
      <c r="A373" s="1" t="s">
        <v>977</v>
      </c>
      <c r="B373" s="1" t="s">
        <v>1360</v>
      </c>
      <c r="C373" s="1" t="s">
        <v>1361</v>
      </c>
      <c r="D373" s="3" t="n">
        <f aca="false">ROUND((Data!C373-Data!E373)/Data!C373*100,2)</f>
        <v>16.63</v>
      </c>
      <c r="E373" s="1" t="n">
        <v>11.18</v>
      </c>
      <c r="F373" s="1" t="n">
        <v>10.56</v>
      </c>
      <c r="G373" s="1" t="n">
        <v>-0.62</v>
      </c>
      <c r="H373" s="1" t="n">
        <v>-5.55</v>
      </c>
      <c r="I373" s="1" t="s">
        <v>13</v>
      </c>
      <c r="J373" s="1" t="s">
        <v>1362</v>
      </c>
    </row>
    <row r="374" customFormat="false" ht="13.5" hidden="false" customHeight="true" outlineLevel="0" collapsed="false">
      <c r="A374" s="1" t="s">
        <v>1076</v>
      </c>
      <c r="B374" s="1" t="s">
        <v>1363</v>
      </c>
      <c r="C374" s="1" t="s">
        <v>1364</v>
      </c>
      <c r="D374" s="3" t="n">
        <f aca="false">ROUND((Data!C374-Data!E374)/Data!C374*100,2)</f>
        <v>17.49</v>
      </c>
      <c r="E374" s="1" t="n">
        <v>41.15</v>
      </c>
      <c r="F374" s="1" t="n">
        <v>38.7</v>
      </c>
      <c r="G374" s="1" t="n">
        <v>-2.45</v>
      </c>
      <c r="H374" s="1" t="n">
        <v>-5.95</v>
      </c>
      <c r="I374" s="1" t="s">
        <v>13</v>
      </c>
      <c r="J374" s="1" t="s">
        <v>1365</v>
      </c>
    </row>
    <row r="375" customFormat="false" ht="13.5" hidden="false" customHeight="true" outlineLevel="0" collapsed="false">
      <c r="A375" s="1" t="s">
        <v>1366</v>
      </c>
      <c r="B375" s="1" t="s">
        <v>1367</v>
      </c>
      <c r="C375" s="1" t="s">
        <v>1368</v>
      </c>
      <c r="D375" s="3" t="n">
        <f aca="false">ROUND((Data!C375-Data!E375)/Data!C375*100,2)</f>
        <v>21.13</v>
      </c>
      <c r="E375" s="1" t="n">
        <v>123.87</v>
      </c>
      <c r="F375" s="1" t="n">
        <v>112.31</v>
      </c>
      <c r="G375" s="1" t="n">
        <v>-11.56</v>
      </c>
      <c r="H375" s="1" t="n">
        <v>-9.33</v>
      </c>
      <c r="I375" s="1" t="s">
        <v>13</v>
      </c>
      <c r="J375" s="1" t="s">
        <v>1369</v>
      </c>
    </row>
    <row r="376" customFormat="false" ht="13.5" hidden="false" customHeight="true" outlineLevel="0" collapsed="false">
      <c r="A376" s="1" t="s">
        <v>436</v>
      </c>
      <c r="B376" s="1" t="s">
        <v>1370</v>
      </c>
      <c r="C376" s="1" t="s">
        <v>1371</v>
      </c>
      <c r="D376" s="3"/>
      <c r="I376" s="1" t="s">
        <v>1372</v>
      </c>
      <c r="J376" s="1" t="s">
        <v>1373</v>
      </c>
    </row>
  </sheetData>
  <autoFilter ref="A1:J376">
    <sortState ref="A2:J376">
      <sortCondition ref="H2:H376" descending="1"/>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sheetData>
    <row r="1" customFormat="false" ht="15" hidden="false" customHeight="false" outlineLevel="0" collapsed="false">
      <c r="A1" s="0" t="s">
        <v>1</v>
      </c>
      <c r="B1" s="0" t="s">
        <v>1374</v>
      </c>
      <c r="C1" s="0" t="s">
        <v>1375</v>
      </c>
      <c r="D1" s="0" t="s">
        <v>1376</v>
      </c>
      <c r="E1" s="0" t="s">
        <v>1377</v>
      </c>
      <c r="F1" s="0" t="s">
        <v>8</v>
      </c>
      <c r="G1" s="0" t="s">
        <v>1378</v>
      </c>
      <c r="H1" s="0" t="s">
        <v>1379</v>
      </c>
      <c r="I1" s="0" t="s">
        <v>1380</v>
      </c>
      <c r="J1" s="0" t="s">
        <v>1381</v>
      </c>
      <c r="K1" s="0" t="s">
        <v>1382</v>
      </c>
    </row>
    <row r="2" customFormat="false" ht="15" hidden="false" customHeight="false" outlineLevel="0" collapsed="false">
      <c r="A2" s="4" t="s">
        <v>11</v>
      </c>
      <c r="B2" s="4" t="s">
        <v>1383</v>
      </c>
      <c r="C2" s="5" t="n">
        <v>132.87</v>
      </c>
      <c r="D2" s="4" t="s">
        <v>1384</v>
      </c>
      <c r="E2" s="5" t="n">
        <v>60.8</v>
      </c>
      <c r="F2" s="4" t="s">
        <v>13</v>
      </c>
      <c r="G2" s="4" t="s">
        <v>1385</v>
      </c>
      <c r="H2" s="4" t="s">
        <v>1386</v>
      </c>
      <c r="I2" s="4" t="n">
        <v>44</v>
      </c>
      <c r="J2" s="4" t="n">
        <v>23</v>
      </c>
      <c r="K2" s="4"/>
    </row>
    <row r="3" customFormat="false" ht="15" hidden="false" customHeight="false" outlineLevel="0" collapsed="false">
      <c r="A3" s="4" t="s">
        <v>16</v>
      </c>
      <c r="B3" s="4" t="s">
        <v>1387</v>
      </c>
      <c r="C3" s="5" t="n">
        <v>44</v>
      </c>
      <c r="D3" s="4" t="s">
        <v>1384</v>
      </c>
      <c r="E3" s="5" t="n">
        <v>18.5</v>
      </c>
      <c r="F3" s="4" t="s">
        <v>13</v>
      </c>
      <c r="G3" s="4" t="s">
        <v>1385</v>
      </c>
      <c r="H3" s="4" t="s">
        <v>1386</v>
      </c>
      <c r="I3" s="4" t="n">
        <v>44</v>
      </c>
      <c r="J3" s="4" t="n">
        <v>23</v>
      </c>
      <c r="K3" s="4"/>
    </row>
    <row r="4" customFormat="false" ht="15" hidden="false" customHeight="false" outlineLevel="0" collapsed="false">
      <c r="A4" s="4" t="s">
        <v>20</v>
      </c>
      <c r="B4" s="4" t="s">
        <v>1388</v>
      </c>
      <c r="C4" s="5" t="n">
        <v>381.68</v>
      </c>
      <c r="D4" s="4" t="s">
        <v>1389</v>
      </c>
      <c r="E4" s="5" t="n">
        <v>177.88</v>
      </c>
      <c r="F4" s="4" t="s">
        <v>13</v>
      </c>
      <c r="G4" s="4" t="s">
        <v>1385</v>
      </c>
      <c r="H4" s="4" t="s">
        <v>1386</v>
      </c>
      <c r="I4" s="4" t="n">
        <v>44</v>
      </c>
      <c r="J4" s="4" t="n">
        <v>23</v>
      </c>
      <c r="K4" s="4"/>
    </row>
    <row r="5" customFormat="false" ht="15" hidden="false" customHeight="false" outlineLevel="0" collapsed="false">
      <c r="A5" s="4" t="s">
        <v>24</v>
      </c>
      <c r="B5" s="4" t="s">
        <v>1390</v>
      </c>
      <c r="C5" s="5" t="n">
        <v>206.67</v>
      </c>
      <c r="D5" s="4" t="s">
        <v>1389</v>
      </c>
      <c r="E5" s="5" t="n">
        <v>81.68</v>
      </c>
      <c r="F5" s="4" t="s">
        <v>13</v>
      </c>
      <c r="G5" s="4" t="s">
        <v>1385</v>
      </c>
      <c r="H5" s="4" t="s">
        <v>1386</v>
      </c>
      <c r="I5" s="4" t="n">
        <v>44</v>
      </c>
      <c r="J5" s="4" t="n">
        <v>23</v>
      </c>
      <c r="K5" s="4"/>
    </row>
    <row r="6" customFormat="false" ht="15" hidden="false" customHeight="false" outlineLevel="0" collapsed="false">
      <c r="A6" s="4" t="s">
        <v>28</v>
      </c>
      <c r="B6" s="4" t="s">
        <v>1391</v>
      </c>
      <c r="C6" s="5" t="n">
        <v>290</v>
      </c>
      <c r="D6" s="4" t="s">
        <v>1389</v>
      </c>
      <c r="E6" s="5" t="n">
        <v>93</v>
      </c>
      <c r="F6" s="4" t="s">
        <v>13</v>
      </c>
      <c r="G6" s="4" t="s">
        <v>1385</v>
      </c>
      <c r="H6" s="4" t="s">
        <v>1386</v>
      </c>
      <c r="I6" s="4" t="n">
        <v>44</v>
      </c>
      <c r="J6" s="4" t="n">
        <v>23</v>
      </c>
      <c r="K6" s="4"/>
    </row>
    <row r="7" customFormat="false" ht="15" hidden="false" customHeight="false" outlineLevel="0" collapsed="false">
      <c r="A7" s="4" t="s">
        <v>32</v>
      </c>
      <c r="B7" s="4" t="s">
        <v>1392</v>
      </c>
      <c r="C7" s="5" t="n">
        <v>297.31</v>
      </c>
      <c r="D7" s="4" t="s">
        <v>1389</v>
      </c>
      <c r="E7" s="5" t="n">
        <v>103.33</v>
      </c>
      <c r="F7" s="4" t="s">
        <v>13</v>
      </c>
      <c r="G7" s="4" t="s">
        <v>1385</v>
      </c>
      <c r="H7" s="4" t="s">
        <v>1386</v>
      </c>
      <c r="I7" s="4" t="n">
        <v>44</v>
      </c>
      <c r="J7" s="4" t="n">
        <v>23</v>
      </c>
      <c r="K7" s="4"/>
    </row>
    <row r="8" customFormat="false" ht="15" hidden="false" customHeight="false" outlineLevel="0" collapsed="false">
      <c r="A8" s="4" t="s">
        <v>36</v>
      </c>
      <c r="B8" s="4" t="s">
        <v>1390</v>
      </c>
      <c r="C8" s="5" t="n">
        <v>413.3</v>
      </c>
      <c r="D8" s="4" t="s">
        <v>1384</v>
      </c>
      <c r="E8" s="5" t="n">
        <v>184.35</v>
      </c>
      <c r="F8" s="4" t="s">
        <v>13</v>
      </c>
      <c r="G8" s="4" t="s">
        <v>1385</v>
      </c>
      <c r="H8" s="4" t="s">
        <v>1386</v>
      </c>
      <c r="I8" s="4" t="n">
        <v>44</v>
      </c>
      <c r="J8" s="4" t="n">
        <v>23</v>
      </c>
      <c r="K8" s="4"/>
    </row>
    <row r="9" customFormat="false" ht="15" hidden="false" customHeight="false" outlineLevel="0" collapsed="false">
      <c r="A9" s="4" t="s">
        <v>40</v>
      </c>
      <c r="B9" s="4" t="s">
        <v>1393</v>
      </c>
      <c r="C9" s="5" t="n">
        <v>202.15</v>
      </c>
      <c r="D9" s="4" t="s">
        <v>1389</v>
      </c>
      <c r="E9" s="5" t="n">
        <v>77.28</v>
      </c>
      <c r="F9" s="4" t="s">
        <v>13</v>
      </c>
      <c r="G9" s="4" t="s">
        <v>1385</v>
      </c>
      <c r="H9" s="4" t="s">
        <v>1386</v>
      </c>
      <c r="I9" s="4" t="n">
        <v>44</v>
      </c>
      <c r="J9" s="4" t="n">
        <v>23</v>
      </c>
      <c r="K9" s="4"/>
    </row>
    <row r="10" customFormat="false" ht="15" hidden="false" customHeight="false" outlineLevel="0" collapsed="false">
      <c r="A10" s="4" t="s">
        <v>44</v>
      </c>
      <c r="B10" s="4" t="s">
        <v>1394</v>
      </c>
      <c r="C10" s="5" t="n">
        <v>213.74</v>
      </c>
      <c r="D10" s="4" t="s">
        <v>1389</v>
      </c>
      <c r="E10" s="5" t="n">
        <v>79.88</v>
      </c>
      <c r="F10" s="4" t="s">
        <v>13</v>
      </c>
      <c r="G10" s="4" t="s">
        <v>1385</v>
      </c>
      <c r="H10" s="4" t="s">
        <v>1386</v>
      </c>
      <c r="I10" s="4" t="n">
        <v>44</v>
      </c>
      <c r="J10" s="4" t="n">
        <v>23</v>
      </c>
      <c r="K10" s="4"/>
    </row>
    <row r="11" customFormat="false" ht="15" hidden="false" customHeight="false" outlineLevel="0" collapsed="false">
      <c r="A11" s="4" t="s">
        <v>48</v>
      </c>
      <c r="B11" s="4" t="s">
        <v>1395</v>
      </c>
      <c r="C11" s="5" t="n">
        <v>252</v>
      </c>
      <c r="D11" s="4" t="s">
        <v>1384</v>
      </c>
      <c r="E11" s="5" t="n">
        <v>98.68</v>
      </c>
      <c r="F11" s="4" t="s">
        <v>13</v>
      </c>
      <c r="G11" s="4" t="s">
        <v>1385</v>
      </c>
      <c r="H11" s="4" t="s">
        <v>1386</v>
      </c>
      <c r="I11" s="4" t="n">
        <v>44</v>
      </c>
      <c r="J11" s="4" t="n">
        <v>23</v>
      </c>
      <c r="K11" s="4"/>
    </row>
    <row r="12" customFormat="false" ht="15" hidden="false" customHeight="false" outlineLevel="0" collapsed="false">
      <c r="A12" s="4" t="s">
        <v>52</v>
      </c>
      <c r="B12" s="4" t="s">
        <v>1396</v>
      </c>
      <c r="C12" s="5" t="n">
        <v>439.82</v>
      </c>
      <c r="D12" s="4" t="s">
        <v>1389</v>
      </c>
      <c r="E12" s="5" t="n">
        <v>192</v>
      </c>
      <c r="F12" s="4" t="s">
        <v>13</v>
      </c>
      <c r="G12" s="4" t="s">
        <v>1385</v>
      </c>
      <c r="H12" s="4" t="s">
        <v>1386</v>
      </c>
      <c r="I12" s="4" t="n">
        <v>44</v>
      </c>
      <c r="J12" s="4" t="n">
        <v>23</v>
      </c>
      <c r="K12" s="4"/>
    </row>
    <row r="13" customFormat="false" ht="15" hidden="false" customHeight="false" outlineLevel="0" collapsed="false">
      <c r="A13" s="4" t="s">
        <v>55</v>
      </c>
      <c r="B13" s="4" t="s">
        <v>1396</v>
      </c>
      <c r="C13" s="5" t="n">
        <v>37.37</v>
      </c>
      <c r="D13" s="4" t="s">
        <v>1384</v>
      </c>
      <c r="E13" s="5" t="n">
        <v>15.68</v>
      </c>
      <c r="F13" s="4" t="s">
        <v>13</v>
      </c>
      <c r="G13" s="4" t="s">
        <v>1385</v>
      </c>
      <c r="H13" s="4" t="s">
        <v>1386</v>
      </c>
      <c r="I13" s="4" t="n">
        <v>44</v>
      </c>
      <c r="J13" s="4" t="n">
        <v>23</v>
      </c>
      <c r="K13" s="4"/>
    </row>
    <row r="14" customFormat="false" ht="15" hidden="false" customHeight="false" outlineLevel="0" collapsed="false">
      <c r="A14" s="4" t="s">
        <v>59</v>
      </c>
      <c r="B14" s="4" t="s">
        <v>1396</v>
      </c>
      <c r="C14" s="5" t="n">
        <v>188</v>
      </c>
      <c r="D14" s="4" t="s">
        <v>1389</v>
      </c>
      <c r="E14" s="5" t="n">
        <v>66.92</v>
      </c>
      <c r="F14" s="4" t="s">
        <v>13</v>
      </c>
      <c r="G14" s="4" t="s">
        <v>1385</v>
      </c>
      <c r="H14" s="4" t="s">
        <v>1386</v>
      </c>
      <c r="I14" s="4" t="n">
        <v>44</v>
      </c>
      <c r="J14" s="4" t="n">
        <v>23</v>
      </c>
      <c r="K14" s="4"/>
    </row>
    <row r="15" customFormat="false" ht="15" hidden="false" customHeight="false" outlineLevel="0" collapsed="false">
      <c r="A15" s="4" t="s">
        <v>62</v>
      </c>
      <c r="B15" s="4" t="s">
        <v>1397</v>
      </c>
      <c r="C15" s="5" t="n">
        <v>178.88</v>
      </c>
      <c r="D15" s="4" t="s">
        <v>1389</v>
      </c>
      <c r="E15" s="5" t="n">
        <v>62.4</v>
      </c>
      <c r="F15" s="4" t="s">
        <v>13</v>
      </c>
      <c r="G15" s="4" t="s">
        <v>1385</v>
      </c>
      <c r="H15" s="4" t="s">
        <v>1386</v>
      </c>
      <c r="I15" s="4" t="n">
        <v>44</v>
      </c>
      <c r="J15" s="4" t="n">
        <v>23</v>
      </c>
      <c r="K15" s="4"/>
    </row>
    <row r="16" customFormat="false" ht="15" hidden="false" customHeight="false" outlineLevel="0" collapsed="false">
      <c r="A16" s="4" t="s">
        <v>66</v>
      </c>
      <c r="B16" s="4" t="s">
        <v>1383</v>
      </c>
      <c r="C16" s="5" t="n">
        <v>202.88</v>
      </c>
      <c r="D16" s="4" t="s">
        <v>1384</v>
      </c>
      <c r="E16" s="5" t="n">
        <v>61.53</v>
      </c>
      <c r="F16" s="4" t="s">
        <v>13</v>
      </c>
      <c r="G16" s="4" t="s">
        <v>1385</v>
      </c>
      <c r="H16" s="4" t="s">
        <v>1386</v>
      </c>
      <c r="I16" s="4" t="n">
        <v>44</v>
      </c>
      <c r="J16" s="4" t="n">
        <v>23</v>
      </c>
      <c r="K16" s="4"/>
    </row>
    <row r="17" customFormat="false" ht="15" hidden="false" customHeight="false" outlineLevel="0" collapsed="false">
      <c r="A17" s="4" t="s">
        <v>70</v>
      </c>
      <c r="B17" s="4" t="s">
        <v>1398</v>
      </c>
      <c r="C17" s="5" t="n">
        <v>69.4</v>
      </c>
      <c r="D17" s="4" t="s">
        <v>1384</v>
      </c>
      <c r="E17" s="5" t="n">
        <v>32.28</v>
      </c>
      <c r="F17" s="4" t="s">
        <v>13</v>
      </c>
      <c r="G17" s="4" t="s">
        <v>1385</v>
      </c>
      <c r="H17" s="4" t="s">
        <v>1386</v>
      </c>
      <c r="I17" s="4" t="n">
        <v>44</v>
      </c>
      <c r="J17" s="4" t="n">
        <v>23</v>
      </c>
      <c r="K17" s="4"/>
    </row>
    <row r="18" customFormat="false" ht="15" hidden="false" customHeight="false" outlineLevel="0" collapsed="false">
      <c r="A18" s="4" t="s">
        <v>74</v>
      </c>
      <c r="B18" s="4" t="s">
        <v>1399</v>
      </c>
      <c r="C18" s="5" t="n">
        <v>113.76</v>
      </c>
      <c r="D18" s="4" t="s">
        <v>1389</v>
      </c>
      <c r="E18" s="5" t="n">
        <v>47.47</v>
      </c>
      <c r="F18" s="4" t="s">
        <v>13</v>
      </c>
      <c r="G18" s="4" t="s">
        <v>1385</v>
      </c>
      <c r="H18" s="4" t="s">
        <v>1386</v>
      </c>
      <c r="I18" s="4" t="n">
        <v>44</v>
      </c>
      <c r="J18" s="4" t="n">
        <v>23</v>
      </c>
      <c r="K18" s="4"/>
    </row>
    <row r="19" customFormat="false" ht="15" hidden="false" customHeight="false" outlineLevel="0" collapsed="false">
      <c r="A19" s="4" t="s">
        <v>78</v>
      </c>
      <c r="B19" s="4" t="s">
        <v>1400</v>
      </c>
      <c r="C19" s="5" t="n">
        <v>374.5</v>
      </c>
      <c r="D19" s="4" t="s">
        <v>1389</v>
      </c>
      <c r="E19" s="5" t="n">
        <v>155.55</v>
      </c>
      <c r="F19" s="4" t="s">
        <v>13</v>
      </c>
      <c r="G19" s="4" t="s">
        <v>1385</v>
      </c>
      <c r="H19" s="4" t="s">
        <v>1386</v>
      </c>
      <c r="I19" s="4" t="n">
        <v>44</v>
      </c>
      <c r="J19" s="4" t="n">
        <v>23</v>
      </c>
      <c r="K19" s="4"/>
    </row>
    <row r="20" customFormat="false" ht="15" hidden="false" customHeight="false" outlineLevel="0" collapsed="false">
      <c r="A20" s="4" t="s">
        <v>82</v>
      </c>
      <c r="B20" s="4" t="s">
        <v>1391</v>
      </c>
      <c r="C20" s="5" t="n">
        <v>46.4</v>
      </c>
      <c r="D20" s="4" t="s">
        <v>1384</v>
      </c>
      <c r="E20" s="5" t="n">
        <v>21.4</v>
      </c>
      <c r="F20" s="4" t="s">
        <v>13</v>
      </c>
      <c r="G20" s="4" t="s">
        <v>1385</v>
      </c>
      <c r="H20" s="4" t="s">
        <v>1386</v>
      </c>
      <c r="I20" s="4" t="n">
        <v>44</v>
      </c>
      <c r="J20" s="4" t="n">
        <v>23</v>
      </c>
      <c r="K20" s="4"/>
    </row>
    <row r="21" customFormat="false" ht="15" hidden="false" customHeight="false" outlineLevel="0" collapsed="false">
      <c r="A21" s="4" t="s">
        <v>86</v>
      </c>
      <c r="B21" s="4" t="s">
        <v>1392</v>
      </c>
      <c r="C21" s="5" t="n">
        <v>80.41</v>
      </c>
      <c r="D21" s="4" t="s">
        <v>1389</v>
      </c>
      <c r="E21" s="5" t="n">
        <v>32.94</v>
      </c>
      <c r="F21" s="4" t="s">
        <v>13</v>
      </c>
      <c r="G21" s="4" t="s">
        <v>1385</v>
      </c>
      <c r="H21" s="4" t="s">
        <v>1386</v>
      </c>
      <c r="I21" s="4" t="n">
        <v>44</v>
      </c>
      <c r="J21" s="4" t="n">
        <v>23</v>
      </c>
      <c r="K21" s="4"/>
    </row>
    <row r="22" customFormat="false" ht="15" hidden="false" customHeight="false" outlineLevel="0" collapsed="false">
      <c r="A22" s="4" t="s">
        <v>90</v>
      </c>
      <c r="B22" s="4" t="s">
        <v>1401</v>
      </c>
      <c r="C22" s="5" t="n">
        <v>177</v>
      </c>
      <c r="D22" s="4" t="s">
        <v>1389</v>
      </c>
      <c r="E22" s="5" t="n">
        <v>67.55</v>
      </c>
      <c r="F22" s="4" t="s">
        <v>13</v>
      </c>
      <c r="G22" s="4" t="s">
        <v>1385</v>
      </c>
      <c r="H22" s="4" t="s">
        <v>1386</v>
      </c>
      <c r="I22" s="4" t="n">
        <v>44</v>
      </c>
      <c r="J22" s="4" t="n">
        <v>23</v>
      </c>
      <c r="K22" s="4"/>
    </row>
    <row r="23" customFormat="false" ht="15" hidden="false" customHeight="false" outlineLevel="0" collapsed="false">
      <c r="A23" s="4" t="s">
        <v>94</v>
      </c>
      <c r="B23" s="4" t="s">
        <v>1402</v>
      </c>
      <c r="C23" s="5" t="n">
        <v>103.48</v>
      </c>
      <c r="D23" s="4" t="s">
        <v>1389</v>
      </c>
      <c r="E23" s="5" t="n">
        <v>55</v>
      </c>
      <c r="F23" s="4" t="s">
        <v>13</v>
      </c>
      <c r="G23" s="4" t="s">
        <v>1385</v>
      </c>
      <c r="H23" s="4" t="s">
        <v>1386</v>
      </c>
      <c r="I23" s="4" t="n">
        <v>44</v>
      </c>
      <c r="J23" s="4" t="n">
        <v>23</v>
      </c>
      <c r="K23" s="4"/>
    </row>
    <row r="24" customFormat="false" ht="15" hidden="false" customHeight="false" outlineLevel="0" collapsed="false">
      <c r="A24" s="4" t="s">
        <v>97</v>
      </c>
      <c r="B24" s="4" t="s">
        <v>1400</v>
      </c>
      <c r="C24" s="5" t="n">
        <v>157.97</v>
      </c>
      <c r="D24" s="4" t="s">
        <v>1389</v>
      </c>
      <c r="E24" s="5" t="n">
        <v>69.34</v>
      </c>
      <c r="F24" s="4" t="s">
        <v>13</v>
      </c>
      <c r="G24" s="4" t="s">
        <v>1385</v>
      </c>
      <c r="H24" s="4" t="s">
        <v>1386</v>
      </c>
      <c r="I24" s="4" t="n">
        <v>44</v>
      </c>
      <c r="J24" s="4" t="n">
        <v>23</v>
      </c>
      <c r="K24" s="4"/>
    </row>
    <row r="25" customFormat="false" ht="15" hidden="false" customHeight="false" outlineLevel="0" collapsed="false">
      <c r="A25" s="4" t="s">
        <v>101</v>
      </c>
      <c r="B25" s="4" t="s">
        <v>1391</v>
      </c>
      <c r="C25" s="5" t="n">
        <v>88.66</v>
      </c>
      <c r="D25" s="4" t="s">
        <v>1384</v>
      </c>
      <c r="E25" s="5" t="n">
        <v>39</v>
      </c>
      <c r="F25" s="4" t="s">
        <v>13</v>
      </c>
      <c r="G25" s="4" t="s">
        <v>1385</v>
      </c>
      <c r="H25" s="4" t="s">
        <v>1386</v>
      </c>
      <c r="I25" s="4" t="n">
        <v>44</v>
      </c>
      <c r="J25" s="4" t="n">
        <v>23</v>
      </c>
      <c r="K25" s="4"/>
    </row>
    <row r="26" customFormat="false" ht="15" hidden="false" customHeight="false" outlineLevel="0" collapsed="false">
      <c r="A26" s="4" t="s">
        <v>105</v>
      </c>
      <c r="B26" s="4" t="s">
        <v>1403</v>
      </c>
      <c r="C26" s="5" t="n">
        <v>36.99</v>
      </c>
      <c r="D26" s="4" t="s">
        <v>1389</v>
      </c>
      <c r="E26" s="5" t="n">
        <v>22.55</v>
      </c>
      <c r="F26" s="4" t="s">
        <v>13</v>
      </c>
      <c r="G26" s="4" t="s">
        <v>1385</v>
      </c>
      <c r="H26" s="4" t="s">
        <v>1386</v>
      </c>
      <c r="I26" s="4" t="n">
        <v>44</v>
      </c>
      <c r="J26" s="4" t="n">
        <v>23</v>
      </c>
      <c r="K26" s="4"/>
    </row>
    <row r="27" customFormat="false" ht="15" hidden="false" customHeight="false" outlineLevel="0" collapsed="false">
      <c r="A27" s="4" t="s">
        <v>108</v>
      </c>
      <c r="B27" s="4" t="s">
        <v>1392</v>
      </c>
      <c r="C27" s="5" t="n">
        <v>191.88</v>
      </c>
      <c r="D27" s="4" t="s">
        <v>1389</v>
      </c>
      <c r="E27" s="5" t="n">
        <v>97.51</v>
      </c>
      <c r="F27" s="4" t="s">
        <v>13</v>
      </c>
      <c r="G27" s="4" t="s">
        <v>1385</v>
      </c>
      <c r="H27" s="4" t="s">
        <v>1386</v>
      </c>
      <c r="I27" s="4" t="n">
        <v>44</v>
      </c>
      <c r="J27" s="4" t="n">
        <v>23</v>
      </c>
      <c r="K27" s="4"/>
    </row>
    <row r="28" customFormat="false" ht="15" hidden="false" customHeight="false" outlineLevel="0" collapsed="false">
      <c r="A28" s="4" t="s">
        <v>111</v>
      </c>
      <c r="B28" s="4" t="s">
        <v>1383</v>
      </c>
      <c r="C28" s="5" t="n">
        <v>269.87</v>
      </c>
      <c r="D28" s="4" t="s">
        <v>1389</v>
      </c>
      <c r="E28" s="5" t="n">
        <v>101.44</v>
      </c>
      <c r="F28" s="4" t="s">
        <v>13</v>
      </c>
      <c r="G28" s="4" t="s">
        <v>1385</v>
      </c>
      <c r="H28" s="4" t="s">
        <v>1386</v>
      </c>
      <c r="I28" s="4" t="n">
        <v>44</v>
      </c>
      <c r="J28" s="4" t="n">
        <v>23</v>
      </c>
      <c r="K28" s="4"/>
    </row>
    <row r="29" customFormat="false" ht="15" hidden="false" customHeight="false" outlineLevel="0" collapsed="false">
      <c r="A29" s="4" t="s">
        <v>115</v>
      </c>
      <c r="B29" s="4" t="s">
        <v>1391</v>
      </c>
      <c r="C29" s="5" t="n">
        <v>577.66</v>
      </c>
      <c r="D29" s="4" t="s">
        <v>1389</v>
      </c>
      <c r="E29" s="5" t="n">
        <v>297.57</v>
      </c>
      <c r="F29" s="4" t="s">
        <v>13</v>
      </c>
      <c r="G29" s="4" t="s">
        <v>1385</v>
      </c>
      <c r="H29" s="4" t="s">
        <v>1386</v>
      </c>
      <c r="I29" s="4" t="n">
        <v>44</v>
      </c>
      <c r="J29" s="4" t="n">
        <v>23</v>
      </c>
      <c r="K29" s="4"/>
    </row>
    <row r="30" customFormat="false" ht="15" hidden="false" customHeight="false" outlineLevel="0" collapsed="false">
      <c r="A30" s="4" t="s">
        <v>119</v>
      </c>
      <c r="B30" s="4" t="s">
        <v>1396</v>
      </c>
      <c r="C30" s="5" t="n">
        <v>102.22</v>
      </c>
      <c r="D30" s="4" t="s">
        <v>1389</v>
      </c>
      <c r="E30" s="5" t="n">
        <v>40.48</v>
      </c>
      <c r="F30" s="4" t="s">
        <v>13</v>
      </c>
      <c r="G30" s="4" t="s">
        <v>1385</v>
      </c>
      <c r="H30" s="4" t="s">
        <v>1386</v>
      </c>
      <c r="I30" s="4" t="n">
        <v>44</v>
      </c>
      <c r="J30" s="4" t="n">
        <v>23</v>
      </c>
      <c r="K30" s="4"/>
    </row>
    <row r="31" customFormat="false" ht="15" hidden="false" customHeight="false" outlineLevel="0" collapsed="false">
      <c r="A31" s="4" t="s">
        <v>122</v>
      </c>
      <c r="B31" s="4" t="s">
        <v>1394</v>
      </c>
      <c r="C31" s="5" t="n">
        <v>82.77</v>
      </c>
      <c r="D31" s="4" t="s">
        <v>1404</v>
      </c>
      <c r="E31" s="5" t="n">
        <v>61.54</v>
      </c>
      <c r="F31" s="4" t="s">
        <v>13</v>
      </c>
      <c r="G31" s="4" t="s">
        <v>1385</v>
      </c>
      <c r="H31" s="4" t="s">
        <v>1386</v>
      </c>
      <c r="I31" s="4" t="n">
        <v>44</v>
      </c>
      <c r="J31" s="4" t="n">
        <v>23</v>
      </c>
      <c r="K31" s="4"/>
    </row>
    <row r="32" customFormat="false" ht="15" hidden="false" customHeight="false" outlineLevel="0" collapsed="false">
      <c r="A32" s="4" t="s">
        <v>126</v>
      </c>
      <c r="B32" s="4" t="s">
        <v>1392</v>
      </c>
      <c r="C32" s="5" t="n">
        <v>444</v>
      </c>
      <c r="D32" s="4" t="s">
        <v>1389</v>
      </c>
      <c r="E32" s="5" t="n">
        <v>171.21</v>
      </c>
      <c r="F32" s="4" t="s">
        <v>13</v>
      </c>
      <c r="G32" s="4" t="s">
        <v>1385</v>
      </c>
      <c r="H32" s="4" t="s">
        <v>1386</v>
      </c>
      <c r="I32" s="4" t="n">
        <v>44</v>
      </c>
      <c r="J32" s="4" t="n">
        <v>23</v>
      </c>
      <c r="K32" s="4"/>
    </row>
    <row r="33" customFormat="false" ht="15" hidden="false" customHeight="false" outlineLevel="0" collapsed="false">
      <c r="A33" s="4" t="s">
        <v>130</v>
      </c>
      <c r="B33" s="4" t="s">
        <v>1388</v>
      </c>
      <c r="C33" s="5" t="n">
        <v>345.29</v>
      </c>
      <c r="D33" s="4" t="s">
        <v>1389</v>
      </c>
      <c r="E33" s="5" t="n">
        <v>118.68</v>
      </c>
      <c r="F33" s="4" t="s">
        <v>13</v>
      </c>
      <c r="G33" s="4" t="s">
        <v>1385</v>
      </c>
      <c r="H33" s="4" t="s">
        <v>1386</v>
      </c>
      <c r="I33" s="4" t="n">
        <v>44</v>
      </c>
      <c r="J33" s="4" t="n">
        <v>23</v>
      </c>
      <c r="K33" s="4"/>
    </row>
    <row r="34" customFormat="false" ht="15" hidden="false" customHeight="false" outlineLevel="0" collapsed="false">
      <c r="A34" s="4" t="s">
        <v>133</v>
      </c>
      <c r="B34" s="4" t="s">
        <v>1391</v>
      </c>
      <c r="C34" s="5" t="n">
        <v>107.55</v>
      </c>
      <c r="D34" s="4" t="s">
        <v>1389</v>
      </c>
      <c r="E34" s="5" t="n">
        <v>44</v>
      </c>
      <c r="F34" s="4" t="s">
        <v>13</v>
      </c>
      <c r="G34" s="4" t="s">
        <v>1385</v>
      </c>
      <c r="H34" s="4" t="s">
        <v>1386</v>
      </c>
      <c r="I34" s="4" t="n">
        <v>44</v>
      </c>
      <c r="J34" s="4" t="n">
        <v>23</v>
      </c>
      <c r="K34" s="4"/>
    </row>
    <row r="35" customFormat="false" ht="15" hidden="false" customHeight="false" outlineLevel="0" collapsed="false">
      <c r="A35" s="4" t="s">
        <v>137</v>
      </c>
      <c r="B35" s="4" t="s">
        <v>1405</v>
      </c>
      <c r="C35" s="5" t="n">
        <v>44.19</v>
      </c>
      <c r="D35" s="4" t="s">
        <v>1406</v>
      </c>
      <c r="E35" s="5" t="n">
        <v>34.8</v>
      </c>
      <c r="F35" s="4" t="s">
        <v>13</v>
      </c>
      <c r="G35" s="4" t="s">
        <v>1385</v>
      </c>
      <c r="H35" s="4" t="s">
        <v>1386</v>
      </c>
      <c r="I35" s="4" t="n">
        <v>44</v>
      </c>
      <c r="J35" s="4" t="n">
        <v>23</v>
      </c>
      <c r="K35" s="4"/>
    </row>
    <row r="36" customFormat="false" ht="15" hidden="false" customHeight="false" outlineLevel="0" collapsed="false">
      <c r="A36" s="4" t="s">
        <v>140</v>
      </c>
      <c r="B36" s="4" t="s">
        <v>1392</v>
      </c>
      <c r="C36" s="5" t="n">
        <v>666</v>
      </c>
      <c r="D36" s="4" t="s">
        <v>1389</v>
      </c>
      <c r="E36" s="5" t="n">
        <v>323.59</v>
      </c>
      <c r="F36" s="4" t="s">
        <v>13</v>
      </c>
      <c r="G36" s="4" t="s">
        <v>1385</v>
      </c>
      <c r="H36" s="4" t="s">
        <v>1386</v>
      </c>
      <c r="I36" s="4" t="n">
        <v>44</v>
      </c>
      <c r="J36" s="4" t="n">
        <v>23</v>
      </c>
      <c r="K36" s="4"/>
    </row>
    <row r="37" customFormat="false" ht="15" hidden="false" customHeight="false" outlineLevel="0" collapsed="false">
      <c r="A37" s="4" t="s">
        <v>143</v>
      </c>
      <c r="B37" s="4" t="s">
        <v>1383</v>
      </c>
      <c r="C37" s="5" t="n">
        <v>132.77</v>
      </c>
      <c r="D37" s="4" t="s">
        <v>1389</v>
      </c>
      <c r="E37" s="5" t="n">
        <v>53.28</v>
      </c>
      <c r="F37" s="4" t="s">
        <v>13</v>
      </c>
      <c r="G37" s="4" t="s">
        <v>1385</v>
      </c>
      <c r="H37" s="4" t="s">
        <v>1386</v>
      </c>
      <c r="I37" s="4" t="n">
        <v>44</v>
      </c>
      <c r="J37" s="4" t="n">
        <v>23</v>
      </c>
      <c r="K37" s="4"/>
    </row>
    <row r="38" customFormat="false" ht="15" hidden="false" customHeight="false" outlineLevel="0" collapsed="false">
      <c r="A38" s="4" t="s">
        <v>146</v>
      </c>
      <c r="B38" s="4" t="s">
        <v>1393</v>
      </c>
      <c r="C38" s="5" t="n">
        <v>18.42</v>
      </c>
      <c r="D38" s="4" t="s">
        <v>1389</v>
      </c>
      <c r="E38" s="5" t="n">
        <v>7.89</v>
      </c>
      <c r="F38" s="4" t="s">
        <v>13</v>
      </c>
      <c r="G38" s="4" t="s">
        <v>1385</v>
      </c>
      <c r="H38" s="4" t="s">
        <v>1386</v>
      </c>
      <c r="I38" s="4" t="n">
        <v>44</v>
      </c>
      <c r="J38" s="4" t="n">
        <v>23</v>
      </c>
      <c r="K38" s="4"/>
    </row>
    <row r="39" customFormat="false" ht="15" hidden="false" customHeight="false" outlineLevel="0" collapsed="false">
      <c r="A39" s="4" t="s">
        <v>150</v>
      </c>
      <c r="B39" s="4" t="s">
        <v>1407</v>
      </c>
      <c r="C39" s="5" t="n">
        <v>152.32</v>
      </c>
      <c r="D39" s="4" t="s">
        <v>1384</v>
      </c>
      <c r="E39" s="5" t="n">
        <v>78.18</v>
      </c>
      <c r="F39" s="4" t="s">
        <v>1408</v>
      </c>
      <c r="G39" s="4" t="s">
        <v>1385</v>
      </c>
      <c r="H39" s="4" t="s">
        <v>1409</v>
      </c>
      <c r="I39" s="4" t="n">
        <v>44</v>
      </c>
      <c r="J39" s="4" t="n">
        <v>23</v>
      </c>
      <c r="K39" s="4" t="s">
        <v>1410</v>
      </c>
    </row>
    <row r="40" customFormat="false" ht="15" hidden="false" customHeight="false" outlineLevel="0" collapsed="false">
      <c r="A40" s="4" t="s">
        <v>154</v>
      </c>
      <c r="B40" s="4" t="s">
        <v>1411</v>
      </c>
      <c r="C40" s="5" t="n">
        <v>55.83</v>
      </c>
      <c r="D40" s="4" t="s">
        <v>1389</v>
      </c>
      <c r="E40" s="5" t="n">
        <v>23.91</v>
      </c>
      <c r="F40" s="4" t="s">
        <v>13</v>
      </c>
      <c r="G40" s="4" t="s">
        <v>1385</v>
      </c>
      <c r="H40" s="4" t="s">
        <v>1386</v>
      </c>
      <c r="I40" s="4" t="n">
        <v>44</v>
      </c>
      <c r="J40" s="4" t="n">
        <v>23</v>
      </c>
      <c r="K40" s="4"/>
    </row>
    <row r="41" customFormat="false" ht="15" hidden="false" customHeight="false" outlineLevel="0" collapsed="false">
      <c r="A41" s="4" t="s">
        <v>158</v>
      </c>
      <c r="B41" s="4" t="s">
        <v>1392</v>
      </c>
      <c r="C41" s="5" t="n">
        <v>377.8</v>
      </c>
      <c r="D41" s="4" t="s">
        <v>1384</v>
      </c>
      <c r="E41" s="5" t="n">
        <v>153</v>
      </c>
      <c r="F41" s="4" t="s">
        <v>13</v>
      </c>
      <c r="G41" s="4" t="s">
        <v>1385</v>
      </c>
      <c r="H41" s="4" t="s">
        <v>1386</v>
      </c>
      <c r="I41" s="4" t="n">
        <v>44</v>
      </c>
      <c r="J41" s="4" t="n">
        <v>23</v>
      </c>
      <c r="K41" s="4"/>
    </row>
    <row r="42" customFormat="false" ht="15" hidden="false" customHeight="false" outlineLevel="0" collapsed="false">
      <c r="A42" s="4" t="s">
        <v>162</v>
      </c>
      <c r="B42" s="4" t="s">
        <v>1397</v>
      </c>
      <c r="C42" s="5" t="n">
        <v>191.8</v>
      </c>
      <c r="D42" s="4" t="s">
        <v>1389</v>
      </c>
      <c r="E42" s="5" t="n">
        <v>84</v>
      </c>
      <c r="F42" s="4" t="s">
        <v>13</v>
      </c>
      <c r="G42" s="4" t="s">
        <v>1385</v>
      </c>
      <c r="H42" s="4" t="s">
        <v>1386</v>
      </c>
      <c r="I42" s="4" t="n">
        <v>44</v>
      </c>
      <c r="J42" s="4" t="n">
        <v>23</v>
      </c>
      <c r="K42" s="4"/>
    </row>
    <row r="43" customFormat="false" ht="15" hidden="false" customHeight="false" outlineLevel="0" collapsed="false">
      <c r="A43" s="4" t="s">
        <v>166</v>
      </c>
      <c r="B43" s="4" t="s">
        <v>1392</v>
      </c>
      <c r="C43" s="5" t="n">
        <v>108.05</v>
      </c>
      <c r="D43" s="4" t="s">
        <v>1389</v>
      </c>
      <c r="E43" s="5" t="n">
        <v>47.3</v>
      </c>
      <c r="F43" s="4" t="s">
        <v>13</v>
      </c>
      <c r="G43" s="4" t="s">
        <v>1385</v>
      </c>
      <c r="H43" s="4" t="s">
        <v>1386</v>
      </c>
      <c r="I43" s="4" t="n">
        <v>44</v>
      </c>
      <c r="J43" s="4" t="n">
        <v>23</v>
      </c>
      <c r="K43" s="4"/>
    </row>
    <row r="44" customFormat="false" ht="15" hidden="false" customHeight="false" outlineLevel="0" collapsed="false">
      <c r="A44" s="4" t="s">
        <v>170</v>
      </c>
      <c r="B44" s="4" t="s">
        <v>1398</v>
      </c>
      <c r="C44" s="5" t="n">
        <v>24.54</v>
      </c>
      <c r="D44" s="4" t="s">
        <v>1389</v>
      </c>
      <c r="E44" s="5" t="n">
        <v>13.7</v>
      </c>
      <c r="F44" s="4" t="s">
        <v>13</v>
      </c>
      <c r="G44" s="4" t="s">
        <v>1385</v>
      </c>
      <c r="H44" s="4" t="s">
        <v>1386</v>
      </c>
      <c r="I44" s="4" t="n">
        <v>44</v>
      </c>
      <c r="J44" s="4" t="n">
        <v>23</v>
      </c>
      <c r="K44" s="4"/>
    </row>
    <row r="45" customFormat="false" ht="15" hidden="false" customHeight="false" outlineLevel="0" collapsed="false">
      <c r="A45" s="4" t="s">
        <v>173</v>
      </c>
      <c r="B45" s="4" t="s">
        <v>1392</v>
      </c>
      <c r="C45" s="5" t="n">
        <v>42.15</v>
      </c>
      <c r="D45" s="4" t="s">
        <v>1389</v>
      </c>
      <c r="E45" s="5" t="n">
        <v>19.81</v>
      </c>
      <c r="F45" s="4" t="s">
        <v>13</v>
      </c>
      <c r="G45" s="4" t="s">
        <v>1385</v>
      </c>
      <c r="H45" s="4" t="s">
        <v>1386</v>
      </c>
      <c r="I45" s="4" t="n">
        <v>44</v>
      </c>
      <c r="J45" s="4" t="n">
        <v>23</v>
      </c>
      <c r="K45" s="4"/>
    </row>
    <row r="46" customFormat="false" ht="15" hidden="false" customHeight="false" outlineLevel="0" collapsed="false">
      <c r="A46" s="4" t="s">
        <v>176</v>
      </c>
      <c r="B46" s="4" t="s">
        <v>1392</v>
      </c>
      <c r="C46" s="5" t="n">
        <v>309.69</v>
      </c>
      <c r="D46" s="4" t="s">
        <v>1389</v>
      </c>
      <c r="E46" s="5" t="n">
        <v>123.48</v>
      </c>
      <c r="F46" s="4" t="s">
        <v>13</v>
      </c>
      <c r="G46" s="4" t="s">
        <v>1385</v>
      </c>
      <c r="H46" s="4" t="s">
        <v>1386</v>
      </c>
      <c r="I46" s="4" t="n">
        <v>44</v>
      </c>
      <c r="J46" s="4" t="n">
        <v>23</v>
      </c>
      <c r="K46" s="4"/>
    </row>
    <row r="47" customFormat="false" ht="15" hidden="false" customHeight="false" outlineLevel="0" collapsed="false">
      <c r="A47" s="4" t="s">
        <v>180</v>
      </c>
      <c r="B47" s="4" t="s">
        <v>1397</v>
      </c>
      <c r="C47" s="5" t="n">
        <v>424.88</v>
      </c>
      <c r="D47" s="4" t="s">
        <v>1389</v>
      </c>
      <c r="E47" s="5" t="n">
        <v>155.5</v>
      </c>
      <c r="F47" s="4" t="s">
        <v>13</v>
      </c>
      <c r="G47" s="4" t="s">
        <v>1385</v>
      </c>
      <c r="H47" s="4" t="s">
        <v>1386</v>
      </c>
      <c r="I47" s="4" t="n">
        <v>44</v>
      </c>
      <c r="J47" s="4" t="n">
        <v>23</v>
      </c>
      <c r="K47" s="4"/>
    </row>
    <row r="48" customFormat="false" ht="15" hidden="false" customHeight="false" outlineLevel="0" collapsed="false">
      <c r="A48" s="4" t="s">
        <v>184</v>
      </c>
      <c r="B48" s="4" t="s">
        <v>1392</v>
      </c>
      <c r="C48" s="5" t="n">
        <v>284.85</v>
      </c>
      <c r="D48" s="4" t="s">
        <v>1389</v>
      </c>
      <c r="E48" s="5" t="n">
        <v>102.3</v>
      </c>
      <c r="F48" s="4" t="s">
        <v>13</v>
      </c>
      <c r="G48" s="4" t="s">
        <v>1385</v>
      </c>
      <c r="H48" s="4" t="s">
        <v>1386</v>
      </c>
      <c r="I48" s="4" t="n">
        <v>44</v>
      </c>
      <c r="J48" s="4" t="n">
        <v>23</v>
      </c>
      <c r="K48" s="4"/>
    </row>
    <row r="49" customFormat="false" ht="15" hidden="false" customHeight="false" outlineLevel="0" collapsed="false">
      <c r="A49" s="4" t="s">
        <v>187</v>
      </c>
      <c r="B49" s="4" t="s">
        <v>1394</v>
      </c>
      <c r="C49" s="5" t="n">
        <v>153.94</v>
      </c>
      <c r="D49" s="4" t="s">
        <v>1389</v>
      </c>
      <c r="E49" s="5" t="n">
        <v>81.5</v>
      </c>
      <c r="F49" s="4" t="s">
        <v>13</v>
      </c>
      <c r="G49" s="4" t="s">
        <v>1385</v>
      </c>
      <c r="H49" s="4" t="s">
        <v>1386</v>
      </c>
      <c r="I49" s="4" t="n">
        <v>44</v>
      </c>
      <c r="J49" s="4" t="n">
        <v>23</v>
      </c>
      <c r="K49" s="4"/>
    </row>
    <row r="50" customFormat="false" ht="15" hidden="false" customHeight="false" outlineLevel="0" collapsed="false">
      <c r="A50" s="4" t="s">
        <v>190</v>
      </c>
      <c r="B50" s="4" t="s">
        <v>1391</v>
      </c>
      <c r="C50" s="5" t="n">
        <v>509.11</v>
      </c>
      <c r="D50" s="4" t="s">
        <v>1389</v>
      </c>
      <c r="E50" s="5" t="n">
        <v>206</v>
      </c>
      <c r="F50" s="4" t="s">
        <v>13</v>
      </c>
      <c r="G50" s="4" t="s">
        <v>1385</v>
      </c>
      <c r="H50" s="4" t="s">
        <v>1386</v>
      </c>
      <c r="I50" s="4" t="n">
        <v>44</v>
      </c>
      <c r="J50" s="4" t="n">
        <v>23</v>
      </c>
      <c r="K50" s="4"/>
    </row>
    <row r="51" customFormat="false" ht="15" hidden="false" customHeight="false" outlineLevel="0" collapsed="false">
      <c r="A51" s="4" t="s">
        <v>194</v>
      </c>
      <c r="B51" s="4" t="s">
        <v>1399</v>
      </c>
      <c r="C51" s="5" t="n">
        <v>124.888</v>
      </c>
      <c r="D51" s="4" t="s">
        <v>1389</v>
      </c>
      <c r="E51" s="5" t="n">
        <v>45.6</v>
      </c>
      <c r="F51" s="4" t="s">
        <v>13</v>
      </c>
      <c r="G51" s="4" t="s">
        <v>1385</v>
      </c>
      <c r="H51" s="4" t="s">
        <v>1386</v>
      </c>
      <c r="I51" s="4" t="n">
        <v>44</v>
      </c>
      <c r="J51" s="4" t="n">
        <v>23</v>
      </c>
      <c r="K51" s="4"/>
    </row>
    <row r="52" customFormat="false" ht="15" hidden="false" customHeight="false" outlineLevel="0" collapsed="false">
      <c r="A52" s="4" t="s">
        <v>197</v>
      </c>
      <c r="B52" s="4" t="s">
        <v>1394</v>
      </c>
      <c r="C52" s="5" t="n">
        <v>51.15</v>
      </c>
      <c r="D52" s="4" t="s">
        <v>1384</v>
      </c>
      <c r="E52" s="5" t="n">
        <v>21.93</v>
      </c>
      <c r="F52" s="4" t="s">
        <v>13</v>
      </c>
      <c r="G52" s="4" t="s">
        <v>1385</v>
      </c>
      <c r="H52" s="4" t="s">
        <v>1386</v>
      </c>
      <c r="I52" s="4" t="n">
        <v>44</v>
      </c>
      <c r="J52" s="4" t="n">
        <v>23</v>
      </c>
      <c r="K52" s="4"/>
    </row>
    <row r="53" customFormat="false" ht="15" hidden="false" customHeight="false" outlineLevel="0" collapsed="false">
      <c r="A53" s="4" t="s">
        <v>200</v>
      </c>
      <c r="B53" s="4" t="s">
        <v>1383</v>
      </c>
      <c r="C53" s="5" t="n">
        <v>600</v>
      </c>
      <c r="D53" s="4" t="s">
        <v>1389</v>
      </c>
      <c r="E53" s="5" t="n">
        <v>255.55</v>
      </c>
      <c r="F53" s="4" t="s">
        <v>13</v>
      </c>
      <c r="G53" s="4" t="s">
        <v>1385</v>
      </c>
      <c r="H53" s="4" t="s">
        <v>1386</v>
      </c>
      <c r="I53" s="4" t="n">
        <v>44</v>
      </c>
      <c r="J53" s="4" t="n">
        <v>23</v>
      </c>
      <c r="K53" s="4"/>
    </row>
    <row r="54" customFormat="false" ht="15" hidden="false" customHeight="false" outlineLevel="0" collapsed="false">
      <c r="A54" s="4" t="s">
        <v>204</v>
      </c>
      <c r="B54" s="4" t="s">
        <v>1399</v>
      </c>
      <c r="C54" s="5" t="n">
        <v>48.5</v>
      </c>
      <c r="D54" s="4" t="s">
        <v>1384</v>
      </c>
      <c r="E54" s="5" t="n">
        <v>21.19</v>
      </c>
      <c r="F54" s="4" t="s">
        <v>13</v>
      </c>
      <c r="G54" s="4" t="s">
        <v>1385</v>
      </c>
      <c r="H54" s="4" t="s">
        <v>1386</v>
      </c>
      <c r="I54" s="4" t="n">
        <v>44</v>
      </c>
      <c r="J54" s="4" t="n">
        <v>23</v>
      </c>
      <c r="K54" s="4"/>
    </row>
    <row r="55" customFormat="false" ht="15" hidden="false" customHeight="false" outlineLevel="0" collapsed="false">
      <c r="A55" s="4" t="s">
        <v>207</v>
      </c>
      <c r="B55" s="4" t="s">
        <v>1393</v>
      </c>
      <c r="C55" s="5" t="n">
        <v>123.1</v>
      </c>
      <c r="D55" s="4" t="s">
        <v>1389</v>
      </c>
      <c r="E55" s="5" t="n">
        <v>76.05</v>
      </c>
      <c r="F55" s="4" t="s">
        <v>13</v>
      </c>
      <c r="G55" s="4" t="s">
        <v>1385</v>
      </c>
      <c r="H55" s="4" t="s">
        <v>1386</v>
      </c>
      <c r="I55" s="4" t="n">
        <v>44</v>
      </c>
      <c r="J55" s="4" t="n">
        <v>23</v>
      </c>
      <c r="K55" s="4"/>
    </row>
    <row r="56" customFormat="false" ht="15" hidden="false" customHeight="false" outlineLevel="0" collapsed="false">
      <c r="A56" s="4" t="s">
        <v>210</v>
      </c>
      <c r="B56" s="4" t="s">
        <v>1391</v>
      </c>
      <c r="C56" s="5" t="n">
        <v>484.57</v>
      </c>
      <c r="D56" s="4" t="s">
        <v>1389</v>
      </c>
      <c r="E56" s="5" t="n">
        <v>284.41</v>
      </c>
      <c r="F56" s="4" t="s">
        <v>13</v>
      </c>
      <c r="G56" s="4" t="s">
        <v>1385</v>
      </c>
      <c r="H56" s="4" t="s">
        <v>1386</v>
      </c>
      <c r="I56" s="4" t="n">
        <v>44</v>
      </c>
      <c r="J56" s="4" t="n">
        <v>23</v>
      </c>
      <c r="K56" s="4"/>
    </row>
    <row r="57" customFormat="false" ht="15" hidden="false" customHeight="false" outlineLevel="0" collapsed="false">
      <c r="A57" s="4" t="s">
        <v>213</v>
      </c>
      <c r="B57" s="4" t="s">
        <v>1392</v>
      </c>
      <c r="C57" s="5" t="n">
        <v>74.5</v>
      </c>
      <c r="D57" s="4" t="s">
        <v>1389</v>
      </c>
      <c r="E57" s="5" t="n">
        <v>32.71</v>
      </c>
      <c r="F57" s="4" t="s">
        <v>13</v>
      </c>
      <c r="G57" s="4" t="s">
        <v>1385</v>
      </c>
      <c r="H57" s="4" t="s">
        <v>1386</v>
      </c>
      <c r="I57" s="4" t="n">
        <v>44</v>
      </c>
      <c r="J57" s="4" t="n">
        <v>23</v>
      </c>
      <c r="K57" s="4"/>
    </row>
    <row r="58" customFormat="false" ht="15" hidden="false" customHeight="false" outlineLevel="0" collapsed="false">
      <c r="A58" s="4" t="s">
        <v>216</v>
      </c>
      <c r="B58" s="4" t="s">
        <v>1391</v>
      </c>
      <c r="C58" s="5" t="n">
        <v>418.99</v>
      </c>
      <c r="D58" s="4" t="s">
        <v>1384</v>
      </c>
      <c r="E58" s="5" t="n">
        <v>183.83</v>
      </c>
      <c r="F58" s="4" t="s">
        <v>13</v>
      </c>
      <c r="G58" s="4" t="s">
        <v>1385</v>
      </c>
      <c r="H58" s="4" t="s">
        <v>1386</v>
      </c>
      <c r="I58" s="4" t="n">
        <v>44</v>
      </c>
      <c r="J58" s="4" t="n">
        <v>23</v>
      </c>
      <c r="K58" s="4"/>
    </row>
    <row r="59" customFormat="false" ht="15" hidden="false" customHeight="false" outlineLevel="0" collapsed="false">
      <c r="A59" s="4" t="s">
        <v>219</v>
      </c>
      <c r="B59" s="4" t="s">
        <v>1399</v>
      </c>
      <c r="C59" s="5" t="n">
        <v>1968.14</v>
      </c>
      <c r="D59" s="4" t="s">
        <v>1389</v>
      </c>
      <c r="E59" s="5" t="n">
        <v>995.01</v>
      </c>
      <c r="F59" s="4" t="s">
        <v>13</v>
      </c>
      <c r="G59" s="4" t="s">
        <v>1385</v>
      </c>
      <c r="H59" s="4" t="s">
        <v>1386</v>
      </c>
      <c r="I59" s="4" t="n">
        <v>44</v>
      </c>
      <c r="J59" s="4" t="n">
        <v>23</v>
      </c>
      <c r="K59" s="4"/>
    </row>
    <row r="60" customFormat="false" ht="15" hidden="false" customHeight="false" outlineLevel="0" collapsed="false">
      <c r="A60" s="4" t="s">
        <v>222</v>
      </c>
      <c r="B60" s="4" t="s">
        <v>1396</v>
      </c>
      <c r="C60" s="5" t="n">
        <v>304</v>
      </c>
      <c r="D60" s="4" t="s">
        <v>1389</v>
      </c>
      <c r="E60" s="5" t="n">
        <v>125.16</v>
      </c>
      <c r="F60" s="4" t="s">
        <v>13</v>
      </c>
      <c r="G60" s="4" t="s">
        <v>1385</v>
      </c>
      <c r="H60" s="4" t="s">
        <v>1386</v>
      </c>
      <c r="I60" s="4" t="n">
        <v>44</v>
      </c>
      <c r="J60" s="4" t="n">
        <v>23</v>
      </c>
      <c r="K60" s="4"/>
    </row>
    <row r="61" customFormat="false" ht="15" hidden="false" customHeight="false" outlineLevel="0" collapsed="false">
      <c r="A61" s="4" t="s">
        <v>226</v>
      </c>
      <c r="B61" s="4" t="s">
        <v>1398</v>
      </c>
      <c r="C61" s="5" t="n">
        <v>93.33</v>
      </c>
      <c r="D61" s="4" t="s">
        <v>1389</v>
      </c>
      <c r="E61" s="5" t="n">
        <v>42</v>
      </c>
      <c r="F61" s="4" t="s">
        <v>13</v>
      </c>
      <c r="G61" s="4" t="s">
        <v>1385</v>
      </c>
      <c r="H61" s="4" t="s">
        <v>1386</v>
      </c>
      <c r="I61" s="4" t="n">
        <v>44</v>
      </c>
      <c r="J61" s="4" t="n">
        <v>23</v>
      </c>
      <c r="K61" s="4"/>
    </row>
    <row r="62" customFormat="false" ht="15" hidden="false" customHeight="false" outlineLevel="0" collapsed="false">
      <c r="A62" s="4" t="s">
        <v>230</v>
      </c>
      <c r="B62" s="4" t="s">
        <v>1388</v>
      </c>
      <c r="C62" s="5" t="n">
        <v>19.05</v>
      </c>
      <c r="D62" s="4" t="s">
        <v>1384</v>
      </c>
      <c r="E62" s="5" t="n">
        <v>6.86</v>
      </c>
      <c r="F62" s="4" t="s">
        <v>13</v>
      </c>
      <c r="G62" s="4" t="s">
        <v>1385</v>
      </c>
      <c r="H62" s="4" t="s">
        <v>1386</v>
      </c>
      <c r="I62" s="4" t="n">
        <v>44</v>
      </c>
      <c r="J62" s="4" t="n">
        <v>23</v>
      </c>
      <c r="K62" s="4"/>
    </row>
    <row r="63" customFormat="false" ht="15" hidden="false" customHeight="false" outlineLevel="0" collapsed="false">
      <c r="A63" s="4" t="s">
        <v>234</v>
      </c>
      <c r="B63" s="4" t="s">
        <v>1398</v>
      </c>
      <c r="C63" s="5" t="n">
        <v>218</v>
      </c>
      <c r="D63" s="4" t="s">
        <v>1389</v>
      </c>
      <c r="E63" s="5" t="n">
        <v>95.07</v>
      </c>
      <c r="F63" s="4" t="s">
        <v>13</v>
      </c>
      <c r="G63" s="4" t="s">
        <v>1385</v>
      </c>
      <c r="H63" s="4" t="s">
        <v>1386</v>
      </c>
      <c r="I63" s="4" t="n">
        <v>44</v>
      </c>
      <c r="J63" s="4" t="n">
        <v>23</v>
      </c>
      <c r="K63" s="4"/>
    </row>
    <row r="64" customFormat="false" ht="15" hidden="false" customHeight="false" outlineLevel="0" collapsed="false">
      <c r="A64" s="4" t="s">
        <v>237</v>
      </c>
      <c r="B64" s="4" t="s">
        <v>1398</v>
      </c>
      <c r="C64" s="5" t="n">
        <v>99.66</v>
      </c>
      <c r="D64" s="4" t="s">
        <v>1389</v>
      </c>
      <c r="E64" s="5" t="n">
        <v>40.88</v>
      </c>
      <c r="F64" s="4" t="s">
        <v>13</v>
      </c>
      <c r="G64" s="4" t="s">
        <v>1385</v>
      </c>
      <c r="H64" s="4" t="s">
        <v>1386</v>
      </c>
      <c r="I64" s="4" t="n">
        <v>44</v>
      </c>
      <c r="J64" s="4" t="n">
        <v>23</v>
      </c>
      <c r="K64" s="4"/>
    </row>
    <row r="65" customFormat="false" ht="15" hidden="false" customHeight="false" outlineLevel="0" collapsed="false">
      <c r="A65" s="4" t="s">
        <v>241</v>
      </c>
      <c r="B65" s="4" t="s">
        <v>1402</v>
      </c>
      <c r="C65" s="5" t="n">
        <v>122.42</v>
      </c>
      <c r="D65" s="4" t="s">
        <v>1384</v>
      </c>
      <c r="E65" s="5" t="n">
        <v>57.18</v>
      </c>
      <c r="F65" s="4" t="s">
        <v>13</v>
      </c>
      <c r="G65" s="4" t="s">
        <v>1385</v>
      </c>
      <c r="H65" s="4" t="s">
        <v>1386</v>
      </c>
      <c r="I65" s="4" t="n">
        <v>44</v>
      </c>
      <c r="J65" s="4" t="n">
        <v>23</v>
      </c>
      <c r="K65" s="4"/>
    </row>
    <row r="66" customFormat="false" ht="15" hidden="false" customHeight="false" outlineLevel="0" collapsed="false">
      <c r="A66" s="4" t="s">
        <v>245</v>
      </c>
      <c r="B66" s="4" t="s">
        <v>1387</v>
      </c>
      <c r="C66" s="5" t="n">
        <v>88.1</v>
      </c>
      <c r="D66" s="4" t="s">
        <v>1384</v>
      </c>
      <c r="E66" s="5" t="n">
        <v>38.56</v>
      </c>
      <c r="F66" s="4" t="s">
        <v>13</v>
      </c>
      <c r="G66" s="4" t="s">
        <v>1385</v>
      </c>
      <c r="H66" s="4" t="s">
        <v>1386</v>
      </c>
      <c r="I66" s="4" t="n">
        <v>44</v>
      </c>
      <c r="J66" s="4" t="n">
        <v>23</v>
      </c>
      <c r="K66" s="4"/>
    </row>
    <row r="67" customFormat="false" ht="15" hidden="false" customHeight="false" outlineLevel="0" collapsed="false">
      <c r="A67" s="4" t="s">
        <v>249</v>
      </c>
      <c r="B67" s="4" t="s">
        <v>1402</v>
      </c>
      <c r="C67" s="5" t="n">
        <v>120</v>
      </c>
      <c r="D67" s="4" t="s">
        <v>1389</v>
      </c>
      <c r="E67" s="5" t="n">
        <v>50.9</v>
      </c>
      <c r="F67" s="4" t="s">
        <v>13</v>
      </c>
      <c r="G67" s="4" t="s">
        <v>1385</v>
      </c>
      <c r="H67" s="4" t="s">
        <v>1386</v>
      </c>
      <c r="I67" s="4" t="n">
        <v>44</v>
      </c>
      <c r="J67" s="4" t="n">
        <v>23</v>
      </c>
      <c r="K67" s="4"/>
    </row>
    <row r="68" customFormat="false" ht="15" hidden="false" customHeight="false" outlineLevel="0" collapsed="false">
      <c r="A68" s="4" t="s">
        <v>253</v>
      </c>
      <c r="B68" s="4" t="s">
        <v>1396</v>
      </c>
      <c r="C68" s="5" t="n">
        <v>144.2</v>
      </c>
      <c r="D68" s="4" t="s">
        <v>1389</v>
      </c>
      <c r="E68" s="5" t="n">
        <v>70.4</v>
      </c>
      <c r="F68" s="4" t="s">
        <v>13</v>
      </c>
      <c r="G68" s="4" t="s">
        <v>1385</v>
      </c>
      <c r="H68" s="4" t="s">
        <v>1386</v>
      </c>
      <c r="I68" s="4" t="n">
        <v>44</v>
      </c>
      <c r="J68" s="4" t="n">
        <v>23</v>
      </c>
      <c r="K68" s="4"/>
    </row>
    <row r="69" customFormat="false" ht="15" hidden="false" customHeight="false" outlineLevel="0" collapsed="false">
      <c r="A69" s="4" t="s">
        <v>257</v>
      </c>
      <c r="B69" s="4" t="s">
        <v>1392</v>
      </c>
      <c r="C69" s="5" t="n">
        <v>55</v>
      </c>
      <c r="D69" s="4" t="s">
        <v>1412</v>
      </c>
      <c r="E69" s="5" t="n">
        <v>27.51</v>
      </c>
      <c r="F69" s="4" t="s">
        <v>13</v>
      </c>
      <c r="G69" s="4" t="s">
        <v>1385</v>
      </c>
      <c r="H69" s="4" t="s">
        <v>1386</v>
      </c>
      <c r="I69" s="4" t="n">
        <v>44</v>
      </c>
      <c r="J69" s="4" t="n">
        <v>23</v>
      </c>
      <c r="K69" s="4"/>
    </row>
    <row r="70" customFormat="false" ht="15" hidden="false" customHeight="false" outlineLevel="0" collapsed="false">
      <c r="A70" s="4" t="s">
        <v>261</v>
      </c>
      <c r="B70" s="4" t="s">
        <v>1413</v>
      </c>
      <c r="C70" s="5" t="n">
        <v>133.11</v>
      </c>
      <c r="D70" s="4" t="s">
        <v>1389</v>
      </c>
      <c r="E70" s="5" t="n">
        <v>67.11</v>
      </c>
      <c r="F70" s="4" t="s">
        <v>13</v>
      </c>
      <c r="G70" s="4" t="s">
        <v>1385</v>
      </c>
      <c r="H70" s="4" t="s">
        <v>1386</v>
      </c>
      <c r="I70" s="4" t="n">
        <v>44</v>
      </c>
      <c r="J70" s="4" t="n">
        <v>23</v>
      </c>
      <c r="K70" s="4"/>
    </row>
    <row r="71" customFormat="false" ht="15" hidden="false" customHeight="false" outlineLevel="0" collapsed="false">
      <c r="A71" s="4" t="s">
        <v>265</v>
      </c>
      <c r="B71" s="4" t="s">
        <v>1405</v>
      </c>
      <c r="C71" s="5" t="n">
        <v>38.67</v>
      </c>
      <c r="D71" s="4" t="s">
        <v>1384</v>
      </c>
      <c r="E71" s="5" t="n">
        <v>25.85</v>
      </c>
      <c r="F71" s="4" t="s">
        <v>13</v>
      </c>
      <c r="G71" s="4" t="s">
        <v>1385</v>
      </c>
      <c r="H71" s="4" t="s">
        <v>1386</v>
      </c>
      <c r="I71" s="4" t="n">
        <v>44</v>
      </c>
      <c r="J71" s="4" t="n">
        <v>23</v>
      </c>
      <c r="K71" s="4"/>
    </row>
    <row r="72" customFormat="false" ht="15" hidden="false" customHeight="false" outlineLevel="0" collapsed="false">
      <c r="A72" s="4" t="s">
        <v>269</v>
      </c>
      <c r="B72" s="4" t="s">
        <v>1400</v>
      </c>
      <c r="C72" s="5" t="n">
        <v>714</v>
      </c>
      <c r="D72" s="4" t="s">
        <v>1389</v>
      </c>
      <c r="E72" s="5" t="n">
        <v>353.49</v>
      </c>
      <c r="F72" s="4" t="s">
        <v>13</v>
      </c>
      <c r="G72" s="4" t="s">
        <v>1385</v>
      </c>
      <c r="H72" s="4" t="s">
        <v>1386</v>
      </c>
      <c r="I72" s="4" t="n">
        <v>44</v>
      </c>
      <c r="J72" s="4" t="n">
        <v>23</v>
      </c>
      <c r="K72" s="4"/>
    </row>
    <row r="73" customFormat="false" ht="15" hidden="false" customHeight="false" outlineLevel="0" collapsed="false">
      <c r="A73" s="4" t="s">
        <v>272</v>
      </c>
      <c r="B73" s="4" t="s">
        <v>1391</v>
      </c>
      <c r="C73" s="5" t="n">
        <v>289.5</v>
      </c>
      <c r="D73" s="4" t="s">
        <v>1384</v>
      </c>
      <c r="E73" s="5" t="n">
        <v>123</v>
      </c>
      <c r="F73" s="4" t="s">
        <v>13</v>
      </c>
      <c r="G73" s="4" t="s">
        <v>1385</v>
      </c>
      <c r="H73" s="4" t="s">
        <v>1386</v>
      </c>
      <c r="I73" s="4" t="n">
        <v>44</v>
      </c>
      <c r="J73" s="4" t="n">
        <v>23</v>
      </c>
      <c r="K73" s="4"/>
    </row>
    <row r="74" customFormat="false" ht="15" hidden="false" customHeight="false" outlineLevel="0" collapsed="false">
      <c r="A74" s="4" t="s">
        <v>275</v>
      </c>
      <c r="B74" s="4" t="s">
        <v>1397</v>
      </c>
      <c r="C74" s="5" t="n">
        <v>132.8</v>
      </c>
      <c r="D74" s="4" t="s">
        <v>1389</v>
      </c>
      <c r="E74" s="5" t="n">
        <v>52.1</v>
      </c>
      <c r="F74" s="4" t="s">
        <v>13</v>
      </c>
      <c r="G74" s="4" t="s">
        <v>1385</v>
      </c>
      <c r="H74" s="4" t="s">
        <v>1386</v>
      </c>
      <c r="I74" s="4" t="n">
        <v>44</v>
      </c>
      <c r="J74" s="4" t="n">
        <v>23</v>
      </c>
      <c r="K74" s="4"/>
    </row>
    <row r="75" customFormat="false" ht="15" hidden="false" customHeight="false" outlineLevel="0" collapsed="false">
      <c r="A75" s="4" t="s">
        <v>279</v>
      </c>
      <c r="B75" s="4" t="s">
        <v>1396</v>
      </c>
      <c r="C75" s="5" t="n">
        <v>69.35</v>
      </c>
      <c r="D75" s="4" t="s">
        <v>1389</v>
      </c>
      <c r="E75" s="5" t="n">
        <v>26.63</v>
      </c>
      <c r="F75" s="4" t="s">
        <v>13</v>
      </c>
      <c r="G75" s="4" t="s">
        <v>1385</v>
      </c>
      <c r="H75" s="4" t="s">
        <v>1386</v>
      </c>
      <c r="I75" s="4" t="n">
        <v>44</v>
      </c>
      <c r="J75" s="4" t="n">
        <v>23</v>
      </c>
      <c r="K75" s="4"/>
    </row>
    <row r="76" customFormat="false" ht="15" hidden="false" customHeight="false" outlineLevel="0" collapsed="false">
      <c r="A76" s="4" t="s">
        <v>282</v>
      </c>
      <c r="B76" s="4" t="s">
        <v>1392</v>
      </c>
      <c r="C76" s="5" t="n">
        <v>103.68</v>
      </c>
      <c r="D76" s="4" t="s">
        <v>1384</v>
      </c>
      <c r="E76" s="5" t="n">
        <v>49.02</v>
      </c>
      <c r="F76" s="4" t="s">
        <v>13</v>
      </c>
      <c r="G76" s="4" t="s">
        <v>1385</v>
      </c>
      <c r="H76" s="4" t="s">
        <v>1386</v>
      </c>
      <c r="I76" s="4" t="n">
        <v>44</v>
      </c>
      <c r="J76" s="4" t="n">
        <v>23</v>
      </c>
      <c r="K76" s="4"/>
    </row>
    <row r="77" customFormat="false" ht="15" hidden="false" customHeight="false" outlineLevel="0" collapsed="false">
      <c r="A77" s="4" t="s">
        <v>286</v>
      </c>
      <c r="B77" s="4" t="s">
        <v>1399</v>
      </c>
      <c r="C77" s="5" t="n">
        <v>98.8</v>
      </c>
      <c r="D77" s="4" t="s">
        <v>1389</v>
      </c>
      <c r="E77" s="5" t="n">
        <v>36.96</v>
      </c>
      <c r="F77" s="4" t="s">
        <v>13</v>
      </c>
      <c r="G77" s="4" t="s">
        <v>1385</v>
      </c>
      <c r="H77" s="4" t="s">
        <v>1386</v>
      </c>
      <c r="I77" s="4" t="n">
        <v>44</v>
      </c>
      <c r="J77" s="4" t="n">
        <v>23</v>
      </c>
      <c r="K77" s="4"/>
    </row>
    <row r="78" customFormat="false" ht="15" hidden="false" customHeight="false" outlineLevel="0" collapsed="false">
      <c r="A78" s="4" t="s">
        <v>290</v>
      </c>
      <c r="B78" s="4" t="s">
        <v>1399</v>
      </c>
      <c r="C78" s="5" t="n">
        <v>205.95</v>
      </c>
      <c r="D78" s="4" t="s">
        <v>1389</v>
      </c>
      <c r="E78" s="5" t="n">
        <v>89.09</v>
      </c>
      <c r="F78" s="4" t="s">
        <v>13</v>
      </c>
      <c r="G78" s="4" t="s">
        <v>1385</v>
      </c>
      <c r="H78" s="4" t="s">
        <v>1386</v>
      </c>
      <c r="I78" s="4" t="n">
        <v>44</v>
      </c>
      <c r="J78" s="4" t="n">
        <v>23</v>
      </c>
      <c r="K78" s="4"/>
    </row>
    <row r="79" customFormat="false" ht="15" hidden="false" customHeight="false" outlineLevel="0" collapsed="false">
      <c r="A79" s="4" t="s">
        <v>293</v>
      </c>
      <c r="B79" s="4" t="s">
        <v>1396</v>
      </c>
      <c r="C79" s="5" t="n">
        <v>27.45</v>
      </c>
      <c r="D79" s="4" t="s">
        <v>1389</v>
      </c>
      <c r="E79" s="5" t="n">
        <v>11.36</v>
      </c>
      <c r="F79" s="4" t="s">
        <v>13</v>
      </c>
      <c r="G79" s="4" t="s">
        <v>1385</v>
      </c>
      <c r="H79" s="4" t="s">
        <v>1386</v>
      </c>
      <c r="I79" s="4" t="n">
        <v>44</v>
      </c>
      <c r="J79" s="4" t="n">
        <v>23</v>
      </c>
      <c r="K79" s="4"/>
    </row>
    <row r="80" customFormat="false" ht="15" hidden="false" customHeight="false" outlineLevel="0" collapsed="false">
      <c r="A80" s="4" t="s">
        <v>296</v>
      </c>
      <c r="B80" s="4" t="s">
        <v>1392</v>
      </c>
      <c r="C80" s="5" t="n">
        <v>113</v>
      </c>
      <c r="D80" s="4" t="s">
        <v>1384</v>
      </c>
      <c r="E80" s="5" t="n">
        <v>54.3</v>
      </c>
      <c r="F80" s="4" t="s">
        <v>13</v>
      </c>
      <c r="G80" s="4" t="s">
        <v>1385</v>
      </c>
      <c r="H80" s="4" t="s">
        <v>1386</v>
      </c>
      <c r="I80" s="4" t="n">
        <v>44</v>
      </c>
      <c r="J80" s="4" t="n">
        <v>23</v>
      </c>
      <c r="K80" s="4"/>
    </row>
    <row r="81" customFormat="false" ht="15" hidden="false" customHeight="false" outlineLevel="0" collapsed="false">
      <c r="A81" s="4" t="s">
        <v>300</v>
      </c>
      <c r="B81" s="4" t="s">
        <v>1391</v>
      </c>
      <c r="C81" s="5" t="n">
        <v>260.54</v>
      </c>
      <c r="D81" s="4" t="s">
        <v>1389</v>
      </c>
      <c r="E81" s="5" t="n">
        <v>106.88</v>
      </c>
      <c r="F81" s="4" t="s">
        <v>13</v>
      </c>
      <c r="G81" s="4" t="s">
        <v>1385</v>
      </c>
      <c r="H81" s="4" t="s">
        <v>1386</v>
      </c>
      <c r="I81" s="4" t="n">
        <v>44</v>
      </c>
      <c r="J81" s="4" t="n">
        <v>23</v>
      </c>
      <c r="K81" s="4"/>
    </row>
    <row r="82" customFormat="false" ht="15" hidden="false" customHeight="false" outlineLevel="0" collapsed="false">
      <c r="A82" s="4" t="s">
        <v>303</v>
      </c>
      <c r="B82" s="4" t="s">
        <v>1400</v>
      </c>
      <c r="C82" s="5" t="n">
        <v>72.15</v>
      </c>
      <c r="D82" s="4" t="s">
        <v>1384</v>
      </c>
      <c r="E82" s="5" t="n">
        <v>29.49</v>
      </c>
      <c r="F82" s="4" t="s">
        <v>13</v>
      </c>
      <c r="G82" s="4" t="s">
        <v>1385</v>
      </c>
      <c r="H82" s="4" t="s">
        <v>1386</v>
      </c>
      <c r="I82" s="4" t="n">
        <v>44</v>
      </c>
      <c r="J82" s="4" t="n">
        <v>23</v>
      </c>
      <c r="K82" s="4"/>
    </row>
    <row r="83" customFormat="false" ht="15" hidden="false" customHeight="false" outlineLevel="0" collapsed="false">
      <c r="A83" s="4" t="s">
        <v>306</v>
      </c>
      <c r="B83" s="4" t="s">
        <v>1383</v>
      </c>
      <c r="C83" s="5" t="n">
        <v>395.36</v>
      </c>
      <c r="D83" s="4" t="s">
        <v>1389</v>
      </c>
      <c r="E83" s="5" t="n">
        <v>205.09</v>
      </c>
      <c r="F83" s="4" t="s">
        <v>13</v>
      </c>
      <c r="G83" s="4" t="s">
        <v>1385</v>
      </c>
      <c r="H83" s="4" t="s">
        <v>1386</v>
      </c>
      <c r="I83" s="4" t="n">
        <v>44</v>
      </c>
      <c r="J83" s="4" t="n">
        <v>23</v>
      </c>
      <c r="K83" s="4"/>
    </row>
    <row r="84" customFormat="false" ht="15" hidden="false" customHeight="false" outlineLevel="0" collapsed="false">
      <c r="A84" s="4" t="s">
        <v>310</v>
      </c>
      <c r="B84" s="4" t="s">
        <v>1392</v>
      </c>
      <c r="C84" s="5" t="n">
        <v>64.7</v>
      </c>
      <c r="D84" s="4" t="s">
        <v>1389</v>
      </c>
      <c r="E84" s="5" t="n">
        <v>28.56</v>
      </c>
      <c r="F84" s="4" t="s">
        <v>13</v>
      </c>
      <c r="G84" s="4" t="s">
        <v>1385</v>
      </c>
      <c r="H84" s="4" t="s">
        <v>1386</v>
      </c>
      <c r="I84" s="4" t="n">
        <v>44</v>
      </c>
      <c r="J84" s="4" t="n">
        <v>23</v>
      </c>
      <c r="K84" s="4"/>
    </row>
    <row r="85" customFormat="false" ht="15" hidden="false" customHeight="false" outlineLevel="0" collapsed="false">
      <c r="A85" s="4" t="s">
        <v>314</v>
      </c>
      <c r="B85" s="4" t="s">
        <v>1411</v>
      </c>
      <c r="C85" s="5" t="n">
        <v>99.82</v>
      </c>
      <c r="D85" s="4" t="s">
        <v>1384</v>
      </c>
      <c r="E85" s="5" t="n">
        <v>67</v>
      </c>
      <c r="F85" s="4" t="s">
        <v>13</v>
      </c>
      <c r="G85" s="4" t="s">
        <v>1385</v>
      </c>
      <c r="H85" s="4" t="s">
        <v>1386</v>
      </c>
      <c r="I85" s="4" t="n">
        <v>44</v>
      </c>
      <c r="J85" s="4" t="n">
        <v>23</v>
      </c>
      <c r="K85" s="4"/>
    </row>
    <row r="86" customFormat="false" ht="15" hidden="false" customHeight="false" outlineLevel="0" collapsed="false">
      <c r="A86" s="4" t="s">
        <v>317</v>
      </c>
      <c r="B86" s="4" t="s">
        <v>1391</v>
      </c>
      <c r="C86" s="5" t="n">
        <v>158.2</v>
      </c>
      <c r="D86" s="4" t="s">
        <v>1389</v>
      </c>
      <c r="E86" s="5" t="n">
        <v>94.73</v>
      </c>
      <c r="F86" s="4" t="s">
        <v>13</v>
      </c>
      <c r="G86" s="4" t="s">
        <v>1385</v>
      </c>
      <c r="H86" s="4" t="s">
        <v>1386</v>
      </c>
      <c r="I86" s="4" t="n">
        <v>44</v>
      </c>
      <c r="J86" s="4" t="n">
        <v>23</v>
      </c>
      <c r="K86" s="4"/>
    </row>
    <row r="87" customFormat="false" ht="15" hidden="false" customHeight="false" outlineLevel="0" collapsed="false">
      <c r="A87" s="4" t="s">
        <v>321</v>
      </c>
      <c r="B87" s="4" t="s">
        <v>1398</v>
      </c>
      <c r="C87" s="5" t="n">
        <v>33.67</v>
      </c>
      <c r="D87" s="4" t="s">
        <v>1384</v>
      </c>
      <c r="E87" s="5" t="n">
        <v>13.8</v>
      </c>
      <c r="F87" s="4" t="s">
        <v>13</v>
      </c>
      <c r="G87" s="4" t="s">
        <v>1385</v>
      </c>
      <c r="H87" s="4" t="s">
        <v>1386</v>
      </c>
      <c r="I87" s="4" t="n">
        <v>44</v>
      </c>
      <c r="J87" s="4" t="n">
        <v>23</v>
      </c>
      <c r="K87" s="4"/>
    </row>
    <row r="88" customFormat="false" ht="15" hidden="false" customHeight="false" outlineLevel="0" collapsed="false">
      <c r="A88" s="4" t="s">
        <v>325</v>
      </c>
      <c r="B88" s="4" t="s">
        <v>1414</v>
      </c>
      <c r="C88" s="5" t="n">
        <v>95.28</v>
      </c>
      <c r="D88" s="4" t="s">
        <v>1389</v>
      </c>
      <c r="E88" s="5" t="n">
        <v>58.51</v>
      </c>
      <c r="F88" s="4" t="s">
        <v>13</v>
      </c>
      <c r="G88" s="4" t="s">
        <v>1385</v>
      </c>
      <c r="H88" s="4" t="s">
        <v>1386</v>
      </c>
      <c r="I88" s="4" t="n">
        <v>44</v>
      </c>
      <c r="J88" s="4" t="n">
        <v>23</v>
      </c>
      <c r="K88" s="4"/>
    </row>
    <row r="89" customFormat="false" ht="15" hidden="false" customHeight="false" outlineLevel="0" collapsed="false">
      <c r="A89" s="4" t="s">
        <v>329</v>
      </c>
      <c r="B89" s="4" t="s">
        <v>1388</v>
      </c>
      <c r="C89" s="5" t="n">
        <v>79.95</v>
      </c>
      <c r="D89" s="4" t="s">
        <v>1389</v>
      </c>
      <c r="E89" s="5" t="n">
        <v>36.5</v>
      </c>
      <c r="F89" s="4" t="s">
        <v>13</v>
      </c>
      <c r="G89" s="4" t="s">
        <v>1385</v>
      </c>
      <c r="H89" s="4" t="s">
        <v>1386</v>
      </c>
      <c r="I89" s="4" t="n">
        <v>44</v>
      </c>
      <c r="J89" s="4" t="n">
        <v>23</v>
      </c>
      <c r="K89" s="4"/>
    </row>
    <row r="90" customFormat="false" ht="15" hidden="false" customHeight="false" outlineLevel="0" collapsed="false">
      <c r="A90" s="4" t="s">
        <v>333</v>
      </c>
      <c r="B90" s="4" t="s">
        <v>1391</v>
      </c>
      <c r="C90" s="5" t="n">
        <v>83.14</v>
      </c>
      <c r="D90" s="4" t="s">
        <v>1389</v>
      </c>
      <c r="E90" s="5" t="n">
        <v>35.6</v>
      </c>
      <c r="F90" s="4" t="s">
        <v>13</v>
      </c>
      <c r="G90" s="4" t="s">
        <v>1385</v>
      </c>
      <c r="H90" s="4" t="s">
        <v>1386</v>
      </c>
      <c r="I90" s="4" t="n">
        <v>44</v>
      </c>
      <c r="J90" s="4" t="n">
        <v>23</v>
      </c>
      <c r="K90" s="4"/>
    </row>
    <row r="91" customFormat="false" ht="15" hidden="false" customHeight="false" outlineLevel="0" collapsed="false">
      <c r="A91" s="4" t="s">
        <v>337</v>
      </c>
      <c r="B91" s="4" t="s">
        <v>1411</v>
      </c>
      <c r="C91" s="5" t="n">
        <v>81.82</v>
      </c>
      <c r="D91" s="4" t="s">
        <v>1389</v>
      </c>
      <c r="E91" s="5" t="n">
        <v>34.47</v>
      </c>
      <c r="F91" s="4" t="s">
        <v>13</v>
      </c>
      <c r="G91" s="4" t="s">
        <v>1385</v>
      </c>
      <c r="H91" s="4" t="s">
        <v>1386</v>
      </c>
      <c r="I91" s="4" t="n">
        <v>44</v>
      </c>
      <c r="J91" s="4" t="n">
        <v>23</v>
      </c>
      <c r="K91" s="4"/>
    </row>
    <row r="92" customFormat="false" ht="15" hidden="false" customHeight="false" outlineLevel="0" collapsed="false">
      <c r="A92" s="4" t="s">
        <v>341</v>
      </c>
      <c r="B92" s="4" t="s">
        <v>1388</v>
      </c>
      <c r="C92" s="5" t="n">
        <v>74.64</v>
      </c>
      <c r="D92" s="4" t="s">
        <v>1389</v>
      </c>
      <c r="E92" s="5" t="n">
        <v>43.14</v>
      </c>
      <c r="F92" s="4" t="s">
        <v>13</v>
      </c>
      <c r="G92" s="4" t="s">
        <v>1385</v>
      </c>
      <c r="H92" s="4" t="s">
        <v>1386</v>
      </c>
      <c r="I92" s="4" t="n">
        <v>44</v>
      </c>
      <c r="J92" s="4" t="n">
        <v>23</v>
      </c>
      <c r="K92" s="4"/>
    </row>
    <row r="93" customFormat="false" ht="15" hidden="false" customHeight="false" outlineLevel="0" collapsed="false">
      <c r="A93" s="4" t="s">
        <v>344</v>
      </c>
      <c r="B93" s="4" t="s">
        <v>1411</v>
      </c>
      <c r="C93" s="5" t="n">
        <v>14.9</v>
      </c>
      <c r="D93" s="4" t="s">
        <v>1384</v>
      </c>
      <c r="E93" s="5" t="n">
        <v>6.39</v>
      </c>
      <c r="F93" s="4" t="s">
        <v>13</v>
      </c>
      <c r="G93" s="4" t="s">
        <v>1385</v>
      </c>
      <c r="H93" s="4" t="s">
        <v>1386</v>
      </c>
      <c r="I93" s="4" t="n">
        <v>44</v>
      </c>
      <c r="J93" s="4" t="n">
        <v>23</v>
      </c>
      <c r="K93" s="4"/>
    </row>
    <row r="94" customFormat="false" ht="15" hidden="false" customHeight="false" outlineLevel="0" collapsed="false">
      <c r="A94" s="4" t="s">
        <v>348</v>
      </c>
      <c r="B94" s="4" t="s">
        <v>1391</v>
      </c>
      <c r="C94" s="5" t="n">
        <v>98.82</v>
      </c>
      <c r="D94" s="4" t="s">
        <v>1384</v>
      </c>
      <c r="E94" s="5" t="n">
        <v>46.55</v>
      </c>
      <c r="F94" s="4" t="s">
        <v>13</v>
      </c>
      <c r="G94" s="4" t="s">
        <v>1385</v>
      </c>
      <c r="H94" s="4" t="s">
        <v>1386</v>
      </c>
      <c r="I94" s="4" t="n">
        <v>44</v>
      </c>
      <c r="J94" s="4" t="n">
        <v>23</v>
      </c>
      <c r="K94" s="4"/>
    </row>
    <row r="95" customFormat="false" ht="15" hidden="false" customHeight="false" outlineLevel="0" collapsed="false">
      <c r="A95" s="4" t="s">
        <v>351</v>
      </c>
      <c r="B95" s="4" t="s">
        <v>1404</v>
      </c>
      <c r="C95" s="5" t="n">
        <v>185</v>
      </c>
      <c r="D95" s="4" t="s">
        <v>1389</v>
      </c>
      <c r="E95" s="5" t="n">
        <v>97.04</v>
      </c>
      <c r="F95" s="4" t="s">
        <v>1408</v>
      </c>
      <c r="G95" s="4" t="s">
        <v>1385</v>
      </c>
      <c r="H95" s="4" t="s">
        <v>1409</v>
      </c>
      <c r="I95" s="4" t="n">
        <v>44</v>
      </c>
      <c r="J95" s="4" t="n">
        <v>23</v>
      </c>
      <c r="K95" s="4" t="s">
        <v>1410</v>
      </c>
    </row>
    <row r="96" customFormat="false" ht="15" hidden="false" customHeight="false" outlineLevel="0" collapsed="false">
      <c r="A96" s="4" t="s">
        <v>355</v>
      </c>
      <c r="B96" s="4" t="s">
        <v>1411</v>
      </c>
      <c r="C96" s="5" t="n">
        <v>306.85</v>
      </c>
      <c r="D96" s="4" t="s">
        <v>1389</v>
      </c>
      <c r="E96" s="5" t="n">
        <v>127.48</v>
      </c>
      <c r="F96" s="4" t="s">
        <v>13</v>
      </c>
      <c r="G96" s="4" t="s">
        <v>1385</v>
      </c>
      <c r="H96" s="4" t="s">
        <v>1386</v>
      </c>
      <c r="I96" s="4" t="n">
        <v>44</v>
      </c>
      <c r="J96" s="4" t="n">
        <v>23</v>
      </c>
      <c r="K96" s="4"/>
    </row>
    <row r="97" customFormat="false" ht="15" hidden="false" customHeight="false" outlineLevel="0" collapsed="false">
      <c r="A97" s="4" t="s">
        <v>359</v>
      </c>
      <c r="B97" s="4" t="s">
        <v>1399</v>
      </c>
      <c r="C97" s="5" t="n">
        <v>403</v>
      </c>
      <c r="D97" s="4" t="s">
        <v>1389</v>
      </c>
      <c r="E97" s="5" t="n">
        <v>161.89</v>
      </c>
      <c r="F97" s="4" t="s">
        <v>13</v>
      </c>
      <c r="G97" s="4" t="s">
        <v>1385</v>
      </c>
      <c r="H97" s="4" t="s">
        <v>1386</v>
      </c>
      <c r="I97" s="4" t="n">
        <v>44</v>
      </c>
      <c r="J97" s="4" t="n">
        <v>23</v>
      </c>
      <c r="K97" s="4"/>
    </row>
    <row r="98" customFormat="false" ht="15" hidden="false" customHeight="false" outlineLevel="0" collapsed="false">
      <c r="A98" s="4" t="s">
        <v>363</v>
      </c>
      <c r="B98" s="4" t="s">
        <v>1401</v>
      </c>
      <c r="C98" s="5" t="n">
        <v>50.99</v>
      </c>
      <c r="D98" s="4" t="s">
        <v>1389</v>
      </c>
      <c r="E98" s="5" t="n">
        <v>24.8</v>
      </c>
      <c r="F98" s="4" t="s">
        <v>13</v>
      </c>
      <c r="G98" s="4" t="s">
        <v>1385</v>
      </c>
      <c r="H98" s="4" t="s">
        <v>1386</v>
      </c>
      <c r="I98" s="4" t="n">
        <v>44</v>
      </c>
      <c r="J98" s="4" t="n">
        <v>23</v>
      </c>
      <c r="K98" s="4"/>
    </row>
    <row r="99" customFormat="false" ht="15" hidden="false" customHeight="false" outlineLevel="0" collapsed="false">
      <c r="A99" s="4" t="s">
        <v>367</v>
      </c>
      <c r="B99" s="4" t="s">
        <v>1400</v>
      </c>
      <c r="C99" s="5" t="n">
        <v>84.3</v>
      </c>
      <c r="D99" s="4" t="s">
        <v>1389</v>
      </c>
      <c r="E99" s="5" t="n">
        <v>52.57</v>
      </c>
      <c r="F99" s="4" t="s">
        <v>13</v>
      </c>
      <c r="G99" s="4" t="s">
        <v>1385</v>
      </c>
      <c r="H99" s="4" t="s">
        <v>1386</v>
      </c>
      <c r="I99" s="4" t="n">
        <v>44</v>
      </c>
      <c r="J99" s="4" t="n">
        <v>23</v>
      </c>
      <c r="K99" s="4"/>
    </row>
    <row r="100" customFormat="false" ht="15" hidden="false" customHeight="false" outlineLevel="0" collapsed="false">
      <c r="A100" s="4" t="s">
        <v>370</v>
      </c>
      <c r="B100" s="4" t="s">
        <v>1391</v>
      </c>
      <c r="C100" s="5" t="n">
        <v>550</v>
      </c>
      <c r="D100" s="4" t="s">
        <v>1389</v>
      </c>
      <c r="E100" s="5" t="n">
        <v>243.08</v>
      </c>
      <c r="F100" s="4" t="s">
        <v>13</v>
      </c>
      <c r="G100" s="4" t="s">
        <v>1385</v>
      </c>
      <c r="H100" s="4" t="s">
        <v>1386</v>
      </c>
      <c r="I100" s="4" t="n">
        <v>44</v>
      </c>
      <c r="J100" s="4" t="n">
        <v>23</v>
      </c>
      <c r="K100" s="4"/>
    </row>
    <row r="101" customFormat="false" ht="15" hidden="false" customHeight="false" outlineLevel="0" collapsed="false">
      <c r="A101" s="4" t="s">
        <v>374</v>
      </c>
      <c r="B101" s="4" t="s">
        <v>1395</v>
      </c>
      <c r="C101" s="5" t="n">
        <v>214.404</v>
      </c>
      <c r="D101" s="4" t="s">
        <v>1389</v>
      </c>
      <c r="E101" s="5" t="n">
        <v>101.5</v>
      </c>
      <c r="F101" s="4" t="s">
        <v>13</v>
      </c>
      <c r="G101" s="4" t="s">
        <v>1385</v>
      </c>
      <c r="H101" s="4" t="s">
        <v>1386</v>
      </c>
      <c r="I101" s="4" t="n">
        <v>44</v>
      </c>
      <c r="J101" s="4" t="n">
        <v>23</v>
      </c>
      <c r="K101" s="4"/>
    </row>
    <row r="102" customFormat="false" ht="15" hidden="false" customHeight="false" outlineLevel="0" collapsed="false">
      <c r="A102" s="4" t="s">
        <v>378</v>
      </c>
      <c r="B102" s="4" t="s">
        <v>1392</v>
      </c>
      <c r="C102" s="5" t="n">
        <v>105.46</v>
      </c>
      <c r="D102" s="4" t="s">
        <v>1389</v>
      </c>
      <c r="E102" s="5" t="n">
        <v>46.9</v>
      </c>
      <c r="F102" s="4" t="s">
        <v>13</v>
      </c>
      <c r="G102" s="4" t="s">
        <v>1385</v>
      </c>
      <c r="H102" s="4" t="s">
        <v>1386</v>
      </c>
      <c r="I102" s="4" t="n">
        <v>44</v>
      </c>
      <c r="J102" s="4" t="n">
        <v>23</v>
      </c>
      <c r="K102" s="4"/>
    </row>
    <row r="103" customFormat="false" ht="15" hidden="false" customHeight="false" outlineLevel="0" collapsed="false">
      <c r="A103" s="4" t="s">
        <v>381</v>
      </c>
      <c r="B103" s="4" t="s">
        <v>1398</v>
      </c>
      <c r="C103" s="5" t="n">
        <v>82.96</v>
      </c>
      <c r="D103" s="4" t="s">
        <v>1389</v>
      </c>
      <c r="E103" s="5" t="n">
        <v>34.8</v>
      </c>
      <c r="F103" s="4" t="s">
        <v>13</v>
      </c>
      <c r="G103" s="4" t="s">
        <v>1385</v>
      </c>
      <c r="H103" s="4" t="s">
        <v>1386</v>
      </c>
      <c r="I103" s="4" t="n">
        <v>44</v>
      </c>
      <c r="J103" s="4" t="n">
        <v>23</v>
      </c>
      <c r="K103" s="4"/>
    </row>
    <row r="104" customFormat="false" ht="15" hidden="false" customHeight="false" outlineLevel="0" collapsed="false">
      <c r="A104" s="4" t="s">
        <v>385</v>
      </c>
      <c r="B104" s="4" t="s">
        <v>1396</v>
      </c>
      <c r="C104" s="5" t="n">
        <v>57.8</v>
      </c>
      <c r="D104" s="4" t="s">
        <v>1389</v>
      </c>
      <c r="E104" s="5" t="n">
        <v>23.47</v>
      </c>
      <c r="F104" s="4" t="s">
        <v>13</v>
      </c>
      <c r="G104" s="4" t="s">
        <v>1385</v>
      </c>
      <c r="H104" s="4" t="s">
        <v>1386</v>
      </c>
      <c r="I104" s="4" t="n">
        <v>44</v>
      </c>
      <c r="J104" s="4" t="n">
        <v>23</v>
      </c>
      <c r="K104" s="4"/>
    </row>
    <row r="105" customFormat="false" ht="15" hidden="false" customHeight="false" outlineLevel="0" collapsed="false">
      <c r="A105" s="4" t="s">
        <v>388</v>
      </c>
      <c r="B105" s="4" t="s">
        <v>1396</v>
      </c>
      <c r="C105" s="5" t="n">
        <v>54.08</v>
      </c>
      <c r="D105" s="4" t="s">
        <v>1384</v>
      </c>
      <c r="E105" s="5" t="n">
        <v>24.05</v>
      </c>
      <c r="F105" s="4" t="s">
        <v>13</v>
      </c>
      <c r="G105" s="4" t="s">
        <v>1385</v>
      </c>
      <c r="H105" s="4" t="s">
        <v>1386</v>
      </c>
      <c r="I105" s="4" t="n">
        <v>44</v>
      </c>
      <c r="J105" s="4" t="n">
        <v>23</v>
      </c>
      <c r="K105" s="4"/>
    </row>
    <row r="106" customFormat="false" ht="15" hidden="false" customHeight="false" outlineLevel="0" collapsed="false">
      <c r="A106" s="4" t="s">
        <v>392</v>
      </c>
      <c r="B106" s="4" t="s">
        <v>1398</v>
      </c>
      <c r="C106" s="5" t="n">
        <v>146.98</v>
      </c>
      <c r="D106" s="4" t="s">
        <v>1389</v>
      </c>
      <c r="E106" s="5" t="n">
        <v>86.4</v>
      </c>
      <c r="F106" s="4" t="s">
        <v>13</v>
      </c>
      <c r="G106" s="4" t="s">
        <v>1385</v>
      </c>
      <c r="H106" s="4" t="s">
        <v>1386</v>
      </c>
      <c r="I106" s="4" t="n">
        <v>44</v>
      </c>
      <c r="J106" s="4" t="n">
        <v>23</v>
      </c>
      <c r="K106" s="4"/>
    </row>
    <row r="107" customFormat="false" ht="15" hidden="false" customHeight="false" outlineLevel="0" collapsed="false">
      <c r="A107" s="4" t="s">
        <v>396</v>
      </c>
      <c r="B107" s="4" t="s">
        <v>1398</v>
      </c>
      <c r="C107" s="5" t="n">
        <v>375.67</v>
      </c>
      <c r="D107" s="4" t="s">
        <v>1389</v>
      </c>
      <c r="E107" s="5" t="n">
        <v>170.21</v>
      </c>
      <c r="F107" s="4" t="s">
        <v>1408</v>
      </c>
      <c r="G107" s="4" t="s">
        <v>1385</v>
      </c>
      <c r="H107" s="4" t="s">
        <v>1409</v>
      </c>
      <c r="I107" s="4" t="n">
        <v>44</v>
      </c>
      <c r="J107" s="4" t="n">
        <v>23</v>
      </c>
      <c r="K107" s="4" t="s">
        <v>1410</v>
      </c>
    </row>
    <row r="108" customFormat="false" ht="15" hidden="false" customHeight="false" outlineLevel="0" collapsed="false">
      <c r="A108" s="4" t="s">
        <v>399</v>
      </c>
      <c r="B108" s="4" t="s">
        <v>1392</v>
      </c>
      <c r="C108" s="5" t="n">
        <v>279</v>
      </c>
      <c r="D108" s="4" t="s">
        <v>1389</v>
      </c>
      <c r="E108" s="5" t="n">
        <v>152.33</v>
      </c>
      <c r="F108" s="4" t="s">
        <v>13</v>
      </c>
      <c r="G108" s="4" t="s">
        <v>1385</v>
      </c>
      <c r="H108" s="4" t="s">
        <v>1386</v>
      </c>
      <c r="I108" s="4" t="n">
        <v>44</v>
      </c>
      <c r="J108" s="4" t="n">
        <v>23</v>
      </c>
      <c r="K108" s="4"/>
    </row>
    <row r="109" customFormat="false" ht="15" hidden="false" customHeight="false" outlineLevel="0" collapsed="false">
      <c r="A109" s="4" t="s">
        <v>403</v>
      </c>
      <c r="B109" s="4" t="s">
        <v>1402</v>
      </c>
      <c r="C109" s="5" t="n">
        <v>74.63</v>
      </c>
      <c r="D109" s="4" t="s">
        <v>1389</v>
      </c>
      <c r="E109" s="5" t="n">
        <v>41.45</v>
      </c>
      <c r="F109" s="4" t="s">
        <v>13</v>
      </c>
      <c r="G109" s="4" t="s">
        <v>1385</v>
      </c>
      <c r="H109" s="4" t="s">
        <v>1386</v>
      </c>
      <c r="I109" s="4" t="n">
        <v>44</v>
      </c>
      <c r="J109" s="4" t="n">
        <v>23</v>
      </c>
      <c r="K109" s="4"/>
    </row>
    <row r="110" customFormat="false" ht="15" hidden="false" customHeight="false" outlineLevel="0" collapsed="false">
      <c r="A110" s="4" t="s">
        <v>407</v>
      </c>
      <c r="B110" s="4" t="s">
        <v>1391</v>
      </c>
      <c r="C110" s="5" t="n">
        <v>191.56</v>
      </c>
      <c r="D110" s="4" t="s">
        <v>1389</v>
      </c>
      <c r="E110" s="5" t="n">
        <v>78.02</v>
      </c>
      <c r="F110" s="4" t="s">
        <v>13</v>
      </c>
      <c r="G110" s="4" t="s">
        <v>1385</v>
      </c>
      <c r="H110" s="4" t="s">
        <v>1386</v>
      </c>
      <c r="I110" s="4" t="n">
        <v>44</v>
      </c>
      <c r="J110" s="4" t="n">
        <v>23</v>
      </c>
      <c r="K110" s="4"/>
    </row>
    <row r="111" customFormat="false" ht="15" hidden="false" customHeight="false" outlineLevel="0" collapsed="false">
      <c r="A111" s="4" t="s">
        <v>411</v>
      </c>
      <c r="B111" s="4" t="s">
        <v>1401</v>
      </c>
      <c r="C111" s="5" t="n">
        <v>153.3</v>
      </c>
      <c r="D111" s="4" t="s">
        <v>1389</v>
      </c>
      <c r="E111" s="5" t="n">
        <v>79.21</v>
      </c>
      <c r="F111" s="4" t="s">
        <v>1408</v>
      </c>
      <c r="G111" s="4" t="s">
        <v>1385</v>
      </c>
      <c r="H111" s="4" t="s">
        <v>1409</v>
      </c>
      <c r="I111" s="4" t="n">
        <v>44</v>
      </c>
      <c r="J111" s="4" t="n">
        <v>23</v>
      </c>
      <c r="K111" s="4" t="s">
        <v>1410</v>
      </c>
    </row>
    <row r="112" customFormat="false" ht="15" hidden="false" customHeight="false" outlineLevel="0" collapsed="false">
      <c r="A112" s="4" t="s">
        <v>415</v>
      </c>
      <c r="B112" s="4" t="s">
        <v>1391</v>
      </c>
      <c r="C112" s="5" t="n">
        <v>102.28</v>
      </c>
      <c r="D112" s="4" t="s">
        <v>1389</v>
      </c>
      <c r="E112" s="5" t="n">
        <v>53.44</v>
      </c>
      <c r="F112" s="4" t="s">
        <v>13</v>
      </c>
      <c r="G112" s="4" t="s">
        <v>1385</v>
      </c>
      <c r="H112" s="4" t="s">
        <v>1386</v>
      </c>
      <c r="I112" s="4" t="n">
        <v>44</v>
      </c>
      <c r="J112" s="4" t="n">
        <v>23</v>
      </c>
      <c r="K112" s="4"/>
    </row>
    <row r="113" customFormat="false" ht="15" hidden="false" customHeight="false" outlineLevel="0" collapsed="false">
      <c r="A113" s="4" t="s">
        <v>419</v>
      </c>
      <c r="B113" s="4" t="s">
        <v>1396</v>
      </c>
      <c r="C113" s="5" t="n">
        <v>94.018</v>
      </c>
      <c r="D113" s="4" t="s">
        <v>1389</v>
      </c>
      <c r="E113" s="5" t="n">
        <v>41.24</v>
      </c>
      <c r="F113" s="4" t="s">
        <v>13</v>
      </c>
      <c r="G113" s="4" t="s">
        <v>1385</v>
      </c>
      <c r="H113" s="4" t="s">
        <v>1386</v>
      </c>
      <c r="I113" s="4" t="n">
        <v>44</v>
      </c>
      <c r="J113" s="4" t="n">
        <v>23</v>
      </c>
      <c r="K113" s="4"/>
    </row>
    <row r="114" customFormat="false" ht="15" hidden="false" customHeight="false" outlineLevel="0" collapsed="false">
      <c r="A114" s="4" t="s">
        <v>422</v>
      </c>
      <c r="B114" s="4" t="s">
        <v>1383</v>
      </c>
      <c r="C114" s="5" t="n">
        <v>263.3</v>
      </c>
      <c r="D114" s="4" t="s">
        <v>1412</v>
      </c>
      <c r="E114" s="5" t="n">
        <v>130.08</v>
      </c>
      <c r="F114" s="4" t="s">
        <v>13</v>
      </c>
      <c r="G114" s="4" t="s">
        <v>1385</v>
      </c>
      <c r="H114" s="4" t="s">
        <v>1386</v>
      </c>
      <c r="I114" s="4" t="n">
        <v>44</v>
      </c>
      <c r="J114" s="4" t="n">
        <v>23</v>
      </c>
      <c r="K114" s="4"/>
    </row>
    <row r="115" customFormat="false" ht="15" hidden="false" customHeight="false" outlineLevel="0" collapsed="false">
      <c r="A115" s="4" t="s">
        <v>426</v>
      </c>
      <c r="B115" s="4" t="s">
        <v>1392</v>
      </c>
      <c r="C115" s="5" t="n">
        <v>107.28</v>
      </c>
      <c r="D115" s="4" t="s">
        <v>1389</v>
      </c>
      <c r="E115" s="5" t="n">
        <v>52</v>
      </c>
      <c r="F115" s="4" t="s">
        <v>13</v>
      </c>
      <c r="G115" s="4" t="s">
        <v>1385</v>
      </c>
      <c r="H115" s="4" t="s">
        <v>1386</v>
      </c>
      <c r="I115" s="4" t="n">
        <v>44</v>
      </c>
      <c r="J115" s="4" t="n">
        <v>23</v>
      </c>
      <c r="K115" s="4"/>
    </row>
    <row r="116" customFormat="false" ht="15" hidden="false" customHeight="false" outlineLevel="0" collapsed="false">
      <c r="A116" s="4" t="s">
        <v>429</v>
      </c>
      <c r="B116" s="4" t="s">
        <v>1396</v>
      </c>
      <c r="C116" s="5" t="n">
        <v>416.99</v>
      </c>
      <c r="D116" s="4" t="s">
        <v>1384</v>
      </c>
      <c r="E116" s="5" t="n">
        <v>161.37</v>
      </c>
      <c r="F116" s="4" t="s">
        <v>1415</v>
      </c>
      <c r="G116" s="4" t="s">
        <v>1385</v>
      </c>
      <c r="H116" s="4" t="s">
        <v>1386</v>
      </c>
      <c r="I116" s="4" t="n">
        <v>41</v>
      </c>
      <c r="J116" s="4" t="n">
        <v>23</v>
      </c>
      <c r="K116" s="4" t="s">
        <v>1416</v>
      </c>
    </row>
    <row r="117" customFormat="false" ht="15" hidden="false" customHeight="false" outlineLevel="0" collapsed="false">
      <c r="A117" s="4" t="s">
        <v>433</v>
      </c>
      <c r="B117" s="4" t="s">
        <v>1402</v>
      </c>
      <c r="C117" s="5" t="n">
        <v>120.8</v>
      </c>
      <c r="D117" s="4" t="s">
        <v>1389</v>
      </c>
      <c r="E117" s="5" t="n">
        <v>55.55</v>
      </c>
      <c r="F117" s="4" t="s">
        <v>13</v>
      </c>
      <c r="G117" s="4" t="s">
        <v>1385</v>
      </c>
      <c r="H117" s="4" t="s">
        <v>1386</v>
      </c>
      <c r="I117" s="4" t="n">
        <v>44</v>
      </c>
      <c r="J117" s="4" t="n">
        <v>23</v>
      </c>
      <c r="K117" s="4"/>
    </row>
    <row r="118" customFormat="false" ht="15" hidden="false" customHeight="false" outlineLevel="0" collapsed="false">
      <c r="A118" s="4" t="s">
        <v>437</v>
      </c>
      <c r="B118" s="4" t="s">
        <v>1402</v>
      </c>
      <c r="C118" s="5" t="n">
        <v>48.56</v>
      </c>
      <c r="D118" s="4" t="s">
        <v>1389</v>
      </c>
      <c r="E118" s="5" t="n">
        <v>19.75</v>
      </c>
      <c r="F118" s="4" t="s">
        <v>13</v>
      </c>
      <c r="G118" s="4" t="s">
        <v>1385</v>
      </c>
      <c r="H118" s="4" t="s">
        <v>1386</v>
      </c>
      <c r="I118" s="4" t="n">
        <v>44</v>
      </c>
      <c r="J118" s="4" t="n">
        <v>23</v>
      </c>
      <c r="K118" s="4"/>
    </row>
    <row r="119" customFormat="false" ht="15" hidden="false" customHeight="false" outlineLevel="0" collapsed="false">
      <c r="A119" s="4" t="s">
        <v>441</v>
      </c>
      <c r="B119" s="4" t="s">
        <v>1391</v>
      </c>
      <c r="C119" s="5" t="n">
        <v>333.33</v>
      </c>
      <c r="D119" s="4" t="s">
        <v>1384</v>
      </c>
      <c r="E119" s="5" t="n">
        <v>151</v>
      </c>
      <c r="F119" s="4" t="s">
        <v>13</v>
      </c>
      <c r="G119" s="4" t="s">
        <v>1385</v>
      </c>
      <c r="H119" s="4" t="s">
        <v>1386</v>
      </c>
      <c r="I119" s="4" t="n">
        <v>44</v>
      </c>
      <c r="J119" s="4" t="n">
        <v>23</v>
      </c>
      <c r="K119" s="4"/>
    </row>
    <row r="120" customFormat="false" ht="15" hidden="false" customHeight="false" outlineLevel="0" collapsed="false">
      <c r="A120" s="4" t="s">
        <v>444</v>
      </c>
      <c r="B120" s="4" t="s">
        <v>1402</v>
      </c>
      <c r="C120" s="5" t="n">
        <v>113.87</v>
      </c>
      <c r="D120" s="4" t="s">
        <v>1389</v>
      </c>
      <c r="E120" s="5" t="n">
        <v>64.51</v>
      </c>
      <c r="F120" s="4" t="s">
        <v>13</v>
      </c>
      <c r="G120" s="4" t="s">
        <v>1385</v>
      </c>
      <c r="H120" s="4" t="s">
        <v>1386</v>
      </c>
      <c r="I120" s="4" t="n">
        <v>44</v>
      </c>
      <c r="J120" s="4" t="n">
        <v>23</v>
      </c>
      <c r="K120" s="4"/>
    </row>
    <row r="121" customFormat="false" ht="15" hidden="false" customHeight="false" outlineLevel="0" collapsed="false">
      <c r="A121" s="4" t="s">
        <v>448</v>
      </c>
      <c r="B121" s="4" t="s">
        <v>1383</v>
      </c>
      <c r="C121" s="5" t="n">
        <v>188.88</v>
      </c>
      <c r="D121" s="4" t="s">
        <v>1389</v>
      </c>
      <c r="E121" s="5" t="n">
        <v>81.21</v>
      </c>
      <c r="F121" s="4" t="s">
        <v>1408</v>
      </c>
      <c r="G121" s="4" t="s">
        <v>1385</v>
      </c>
      <c r="H121" s="4" t="s">
        <v>1409</v>
      </c>
      <c r="I121" s="4" t="n">
        <v>44</v>
      </c>
      <c r="J121" s="4" t="n">
        <v>23</v>
      </c>
      <c r="K121" s="4" t="s">
        <v>1410</v>
      </c>
    </row>
    <row r="122" customFormat="false" ht="15" hidden="false" customHeight="false" outlineLevel="0" collapsed="false">
      <c r="A122" s="4" t="s">
        <v>452</v>
      </c>
      <c r="B122" s="4" t="s">
        <v>1411</v>
      </c>
      <c r="C122" s="5" t="n">
        <v>83.901</v>
      </c>
      <c r="D122" s="4" t="s">
        <v>1384</v>
      </c>
      <c r="E122" s="5" t="n">
        <v>37.69</v>
      </c>
      <c r="F122" s="4" t="s">
        <v>13</v>
      </c>
      <c r="G122" s="4" t="s">
        <v>1385</v>
      </c>
      <c r="H122" s="4" t="s">
        <v>1386</v>
      </c>
      <c r="I122" s="4" t="n">
        <v>44</v>
      </c>
      <c r="J122" s="4" t="n">
        <v>23</v>
      </c>
      <c r="K122" s="4"/>
    </row>
    <row r="123" customFormat="false" ht="15" hidden="false" customHeight="false" outlineLevel="0" collapsed="false">
      <c r="A123" s="4" t="s">
        <v>456</v>
      </c>
      <c r="B123" s="4" t="s">
        <v>1387</v>
      </c>
      <c r="C123" s="5" t="n">
        <v>22.7</v>
      </c>
      <c r="D123" s="4" t="s">
        <v>1389</v>
      </c>
      <c r="E123" s="5" t="n">
        <v>9.95</v>
      </c>
      <c r="F123" s="4" t="s">
        <v>13</v>
      </c>
      <c r="G123" s="4" t="s">
        <v>1385</v>
      </c>
      <c r="H123" s="4" t="s">
        <v>1386</v>
      </c>
      <c r="I123" s="4" t="n">
        <v>44</v>
      </c>
      <c r="J123" s="4" t="n">
        <v>23</v>
      </c>
      <c r="K123" s="4"/>
    </row>
    <row r="124" customFormat="false" ht="15" hidden="false" customHeight="false" outlineLevel="0" collapsed="false">
      <c r="A124" s="4" t="s">
        <v>459</v>
      </c>
      <c r="B124" s="4" t="s">
        <v>1383</v>
      </c>
      <c r="C124" s="5" t="n">
        <v>67.84</v>
      </c>
      <c r="D124" s="4" t="s">
        <v>1389</v>
      </c>
      <c r="E124" s="5" t="n">
        <v>27.02</v>
      </c>
      <c r="F124" s="4" t="s">
        <v>13</v>
      </c>
      <c r="G124" s="4" t="s">
        <v>1385</v>
      </c>
      <c r="H124" s="4" t="s">
        <v>1386</v>
      </c>
      <c r="I124" s="4" t="n">
        <v>44</v>
      </c>
      <c r="J124" s="4" t="n">
        <v>23</v>
      </c>
      <c r="K124" s="4"/>
    </row>
    <row r="125" customFormat="false" ht="15" hidden="false" customHeight="false" outlineLevel="0" collapsed="false">
      <c r="A125" s="4" t="s">
        <v>462</v>
      </c>
      <c r="B125" s="4" t="s">
        <v>1396</v>
      </c>
      <c r="C125" s="5" t="n">
        <v>168.08</v>
      </c>
      <c r="D125" s="4" t="s">
        <v>1389</v>
      </c>
      <c r="E125" s="5" t="n">
        <v>81.9</v>
      </c>
      <c r="F125" s="4" t="s">
        <v>13</v>
      </c>
      <c r="G125" s="4" t="s">
        <v>1385</v>
      </c>
      <c r="H125" s="4" t="s">
        <v>1386</v>
      </c>
      <c r="I125" s="4" t="n">
        <v>44</v>
      </c>
      <c r="J125" s="4" t="n">
        <v>23</v>
      </c>
      <c r="K125" s="4"/>
    </row>
    <row r="126" customFormat="false" ht="15" hidden="false" customHeight="false" outlineLevel="0" collapsed="false">
      <c r="A126" s="4" t="s">
        <v>466</v>
      </c>
      <c r="B126" s="4" t="s">
        <v>1401</v>
      </c>
      <c r="C126" s="5" t="n">
        <v>85.98</v>
      </c>
      <c r="D126" s="4" t="s">
        <v>1389</v>
      </c>
      <c r="E126" s="5" t="n">
        <v>43.3</v>
      </c>
      <c r="F126" s="4" t="s">
        <v>13</v>
      </c>
      <c r="G126" s="4" t="s">
        <v>1385</v>
      </c>
      <c r="H126" s="4" t="s">
        <v>1386</v>
      </c>
      <c r="I126" s="4" t="n">
        <v>44</v>
      </c>
      <c r="J126" s="4" t="n">
        <v>23</v>
      </c>
      <c r="K126" s="4"/>
    </row>
    <row r="127" customFormat="false" ht="15" hidden="false" customHeight="false" outlineLevel="0" collapsed="false">
      <c r="A127" s="4" t="s">
        <v>470</v>
      </c>
      <c r="B127" s="4" t="s">
        <v>1387</v>
      </c>
      <c r="C127" s="5" t="n">
        <v>41.8</v>
      </c>
      <c r="D127" s="4" t="s">
        <v>1389</v>
      </c>
      <c r="E127" s="5" t="n">
        <v>19.07</v>
      </c>
      <c r="F127" s="4" t="s">
        <v>13</v>
      </c>
      <c r="G127" s="4" t="s">
        <v>1385</v>
      </c>
      <c r="H127" s="4" t="s">
        <v>1386</v>
      </c>
      <c r="I127" s="4" t="n">
        <v>44</v>
      </c>
      <c r="J127" s="4" t="n">
        <v>23</v>
      </c>
      <c r="K127" s="4"/>
    </row>
    <row r="128" customFormat="false" ht="15" hidden="false" customHeight="false" outlineLevel="0" collapsed="false">
      <c r="A128" s="4" t="s">
        <v>473</v>
      </c>
      <c r="B128" s="4" t="s">
        <v>1383</v>
      </c>
      <c r="C128" s="5" t="n">
        <v>89.69</v>
      </c>
      <c r="D128" s="4" t="s">
        <v>1389</v>
      </c>
      <c r="E128" s="5" t="n">
        <v>47.15</v>
      </c>
      <c r="F128" s="4" t="s">
        <v>13</v>
      </c>
      <c r="G128" s="4" t="s">
        <v>1385</v>
      </c>
      <c r="H128" s="4" t="s">
        <v>1386</v>
      </c>
      <c r="I128" s="4" t="n">
        <v>44</v>
      </c>
      <c r="J128" s="4" t="n">
        <v>23</v>
      </c>
      <c r="K128" s="4"/>
    </row>
    <row r="129" customFormat="false" ht="15" hidden="false" customHeight="false" outlineLevel="0" collapsed="false">
      <c r="A129" s="4" t="s">
        <v>477</v>
      </c>
      <c r="B129" s="4" t="s">
        <v>1411</v>
      </c>
      <c r="C129" s="5" t="n">
        <v>89.5</v>
      </c>
      <c r="D129" s="4" t="s">
        <v>1389</v>
      </c>
      <c r="E129" s="5" t="n">
        <v>40.22</v>
      </c>
      <c r="F129" s="4" t="s">
        <v>13</v>
      </c>
      <c r="G129" s="4" t="s">
        <v>1385</v>
      </c>
      <c r="H129" s="4" t="s">
        <v>1386</v>
      </c>
      <c r="I129" s="4" t="n">
        <v>44</v>
      </c>
      <c r="J129" s="4" t="n">
        <v>23</v>
      </c>
      <c r="K129" s="4"/>
    </row>
    <row r="130" customFormat="false" ht="15" hidden="false" customHeight="false" outlineLevel="0" collapsed="false">
      <c r="A130" s="4" t="s">
        <v>481</v>
      </c>
      <c r="B130" s="4" t="s">
        <v>1396</v>
      </c>
      <c r="C130" s="5" t="n">
        <v>23.18</v>
      </c>
      <c r="D130" s="4" t="s">
        <v>1384</v>
      </c>
      <c r="E130" s="5" t="n">
        <v>10.84</v>
      </c>
      <c r="F130" s="4" t="s">
        <v>13</v>
      </c>
      <c r="G130" s="4" t="s">
        <v>1385</v>
      </c>
      <c r="H130" s="4" t="s">
        <v>1386</v>
      </c>
      <c r="I130" s="4" t="n">
        <v>44</v>
      </c>
      <c r="J130" s="4" t="n">
        <v>23</v>
      </c>
      <c r="K130" s="4"/>
    </row>
    <row r="131" customFormat="false" ht="15" hidden="false" customHeight="false" outlineLevel="0" collapsed="false">
      <c r="A131" s="4" t="s">
        <v>485</v>
      </c>
      <c r="B131" s="4" t="s">
        <v>1395</v>
      </c>
      <c r="C131" s="5" t="n">
        <v>95</v>
      </c>
      <c r="D131" s="4" t="s">
        <v>1384</v>
      </c>
      <c r="E131" s="5" t="n">
        <v>50.71</v>
      </c>
      <c r="F131" s="4" t="s">
        <v>13</v>
      </c>
      <c r="G131" s="4" t="s">
        <v>1385</v>
      </c>
      <c r="H131" s="4" t="s">
        <v>1386</v>
      </c>
      <c r="I131" s="4" t="n">
        <v>44</v>
      </c>
      <c r="J131" s="4" t="n">
        <v>23</v>
      </c>
      <c r="K131" s="4"/>
    </row>
    <row r="132" customFormat="false" ht="15" hidden="false" customHeight="false" outlineLevel="0" collapsed="false">
      <c r="A132" s="4" t="s">
        <v>488</v>
      </c>
      <c r="B132" s="4" t="s">
        <v>1396</v>
      </c>
      <c r="C132" s="5" t="n">
        <v>52.92</v>
      </c>
      <c r="D132" s="4" t="s">
        <v>1389</v>
      </c>
      <c r="E132" s="5" t="n">
        <v>30.66</v>
      </c>
      <c r="F132" s="4" t="s">
        <v>13</v>
      </c>
      <c r="G132" s="4" t="s">
        <v>1385</v>
      </c>
      <c r="H132" s="4" t="s">
        <v>1386</v>
      </c>
      <c r="I132" s="4" t="n">
        <v>44</v>
      </c>
      <c r="J132" s="4" t="n">
        <v>23</v>
      </c>
      <c r="K132" s="4"/>
    </row>
    <row r="133" customFormat="false" ht="15" hidden="false" customHeight="false" outlineLevel="0" collapsed="false">
      <c r="A133" s="4" t="s">
        <v>491</v>
      </c>
      <c r="B133" s="4" t="s">
        <v>1391</v>
      </c>
      <c r="C133" s="5" t="n">
        <v>36.45</v>
      </c>
      <c r="D133" s="4" t="s">
        <v>1384</v>
      </c>
      <c r="E133" s="5" t="n">
        <v>15.5</v>
      </c>
      <c r="F133" s="4" t="s">
        <v>13</v>
      </c>
      <c r="G133" s="4" t="s">
        <v>1385</v>
      </c>
      <c r="H133" s="4" t="s">
        <v>1386</v>
      </c>
      <c r="I133" s="4" t="n">
        <v>44</v>
      </c>
      <c r="J133" s="4" t="n">
        <v>23</v>
      </c>
      <c r="K133" s="4"/>
    </row>
    <row r="134" customFormat="false" ht="15" hidden="false" customHeight="false" outlineLevel="0" collapsed="false">
      <c r="A134" s="4" t="s">
        <v>495</v>
      </c>
      <c r="B134" s="4" t="s">
        <v>1383</v>
      </c>
      <c r="C134" s="5" t="n">
        <v>355.55</v>
      </c>
      <c r="D134" s="4" t="s">
        <v>1389</v>
      </c>
      <c r="E134" s="5" t="n">
        <v>183.61</v>
      </c>
      <c r="F134" s="4" t="s">
        <v>13</v>
      </c>
      <c r="G134" s="4" t="s">
        <v>1385</v>
      </c>
      <c r="H134" s="4" t="s">
        <v>1386</v>
      </c>
      <c r="I134" s="4" t="n">
        <v>44</v>
      </c>
      <c r="J134" s="4" t="n">
        <v>23</v>
      </c>
      <c r="K134" s="4"/>
    </row>
    <row r="135" customFormat="false" ht="15" hidden="false" customHeight="false" outlineLevel="0" collapsed="false">
      <c r="A135" s="4" t="s">
        <v>499</v>
      </c>
      <c r="B135" s="4" t="s">
        <v>1417</v>
      </c>
      <c r="C135" s="5" t="n">
        <v>458.88</v>
      </c>
      <c r="D135" s="4" t="s">
        <v>1389</v>
      </c>
      <c r="E135" s="5" t="n">
        <v>297.1</v>
      </c>
      <c r="F135" s="4" t="s">
        <v>1408</v>
      </c>
      <c r="G135" s="4" t="s">
        <v>1385</v>
      </c>
      <c r="H135" s="4" t="s">
        <v>1409</v>
      </c>
      <c r="I135" s="4" t="n">
        <v>44</v>
      </c>
      <c r="J135" s="4" t="n">
        <v>23</v>
      </c>
      <c r="K135" s="4" t="s">
        <v>1410</v>
      </c>
    </row>
    <row r="136" customFormat="false" ht="15" hidden="false" customHeight="false" outlineLevel="0" collapsed="false">
      <c r="A136" s="4" t="s">
        <v>503</v>
      </c>
      <c r="B136" s="4" t="s">
        <v>1391</v>
      </c>
      <c r="C136" s="5" t="n">
        <v>98.641</v>
      </c>
      <c r="D136" s="4" t="s">
        <v>1389</v>
      </c>
      <c r="E136" s="5" t="n">
        <v>36.5</v>
      </c>
      <c r="F136" s="4" t="s">
        <v>13</v>
      </c>
      <c r="G136" s="4" t="s">
        <v>1385</v>
      </c>
      <c r="H136" s="4" t="s">
        <v>1386</v>
      </c>
      <c r="I136" s="4" t="n">
        <v>44</v>
      </c>
      <c r="J136" s="4" t="n">
        <v>23</v>
      </c>
      <c r="K136" s="4"/>
    </row>
    <row r="137" customFormat="false" ht="15" hidden="false" customHeight="false" outlineLevel="0" collapsed="false">
      <c r="A137" s="4" t="s">
        <v>507</v>
      </c>
      <c r="B137" s="4" t="s">
        <v>1391</v>
      </c>
      <c r="C137" s="5" t="n">
        <v>56.39</v>
      </c>
      <c r="D137" s="4" t="s">
        <v>1389</v>
      </c>
      <c r="E137" s="5" t="n">
        <v>22.9</v>
      </c>
      <c r="F137" s="4" t="s">
        <v>13</v>
      </c>
      <c r="G137" s="4" t="s">
        <v>1385</v>
      </c>
      <c r="H137" s="4" t="s">
        <v>1386</v>
      </c>
      <c r="I137" s="4" t="n">
        <v>44</v>
      </c>
      <c r="J137" s="4" t="n">
        <v>23</v>
      </c>
      <c r="K137" s="4"/>
    </row>
    <row r="138" customFormat="false" ht="15" hidden="false" customHeight="false" outlineLevel="0" collapsed="false">
      <c r="A138" s="4" t="s">
        <v>511</v>
      </c>
      <c r="B138" s="4" t="s">
        <v>1396</v>
      </c>
      <c r="C138" s="5" t="n">
        <v>77.2</v>
      </c>
      <c r="D138" s="4" t="s">
        <v>1389</v>
      </c>
      <c r="E138" s="5" t="n">
        <v>35.55</v>
      </c>
      <c r="F138" s="4" t="s">
        <v>13</v>
      </c>
      <c r="G138" s="4" t="s">
        <v>1385</v>
      </c>
      <c r="H138" s="4" t="s">
        <v>1386</v>
      </c>
      <c r="I138" s="4" t="n">
        <v>44</v>
      </c>
      <c r="J138" s="4" t="n">
        <v>23</v>
      </c>
      <c r="K138" s="4"/>
    </row>
    <row r="139" customFormat="false" ht="15" hidden="false" customHeight="false" outlineLevel="0" collapsed="false">
      <c r="A139" s="4" t="s">
        <v>515</v>
      </c>
      <c r="B139" s="4" t="s">
        <v>1391</v>
      </c>
      <c r="C139" s="5" t="n">
        <v>335.12</v>
      </c>
      <c r="D139" s="4" t="s">
        <v>1389</v>
      </c>
      <c r="E139" s="5" t="n">
        <v>175.58</v>
      </c>
      <c r="F139" s="4" t="s">
        <v>1415</v>
      </c>
      <c r="G139" s="4" t="s">
        <v>1385</v>
      </c>
      <c r="H139" s="4" t="s">
        <v>1386</v>
      </c>
      <c r="I139" s="4" t="n">
        <v>39</v>
      </c>
      <c r="J139" s="4" t="n">
        <v>18</v>
      </c>
      <c r="K139" s="4" t="s">
        <v>1418</v>
      </c>
    </row>
    <row r="140" customFormat="false" ht="15" hidden="false" customHeight="false" outlineLevel="0" collapsed="false">
      <c r="A140" s="4" t="s">
        <v>519</v>
      </c>
      <c r="B140" s="4" t="s">
        <v>1391</v>
      </c>
      <c r="C140" s="5" t="n">
        <v>104.43</v>
      </c>
      <c r="D140" s="4" t="s">
        <v>1384</v>
      </c>
      <c r="E140" s="5" t="n">
        <v>45.14</v>
      </c>
      <c r="F140" s="4" t="s">
        <v>13</v>
      </c>
      <c r="G140" s="4" t="s">
        <v>1385</v>
      </c>
      <c r="H140" s="4" t="s">
        <v>1386</v>
      </c>
      <c r="I140" s="4" t="n">
        <v>44</v>
      </c>
      <c r="J140" s="4" t="n">
        <v>23</v>
      </c>
      <c r="K140" s="4"/>
    </row>
    <row r="141" customFormat="false" ht="15" hidden="false" customHeight="false" outlineLevel="0" collapsed="false">
      <c r="A141" s="4" t="s">
        <v>522</v>
      </c>
      <c r="B141" s="4" t="s">
        <v>1383</v>
      </c>
      <c r="C141" s="5" t="n">
        <v>231.2</v>
      </c>
      <c r="D141" s="4" t="s">
        <v>1389</v>
      </c>
      <c r="E141" s="5" t="n">
        <v>100</v>
      </c>
      <c r="F141" s="4" t="s">
        <v>13</v>
      </c>
      <c r="G141" s="4" t="s">
        <v>1385</v>
      </c>
      <c r="H141" s="4" t="s">
        <v>1386</v>
      </c>
      <c r="I141" s="4" t="n">
        <v>44</v>
      </c>
      <c r="J141" s="4" t="n">
        <v>23</v>
      </c>
      <c r="K141" s="4"/>
    </row>
    <row r="142" customFormat="false" ht="15" hidden="false" customHeight="false" outlineLevel="0" collapsed="false">
      <c r="A142" s="4" t="s">
        <v>525</v>
      </c>
      <c r="B142" s="4" t="s">
        <v>1387</v>
      </c>
      <c r="C142" s="5" t="n">
        <v>51.91</v>
      </c>
      <c r="D142" s="4" t="s">
        <v>1389</v>
      </c>
      <c r="E142" s="5" t="n">
        <v>25.58</v>
      </c>
      <c r="F142" s="4" t="s">
        <v>13</v>
      </c>
      <c r="G142" s="4" t="s">
        <v>1385</v>
      </c>
      <c r="H142" s="4" t="s">
        <v>1386</v>
      </c>
      <c r="I142" s="4" t="n">
        <v>44</v>
      </c>
      <c r="J142" s="4" t="n">
        <v>23</v>
      </c>
      <c r="K142" s="4"/>
    </row>
    <row r="143" customFormat="false" ht="15" hidden="false" customHeight="false" outlineLevel="0" collapsed="false">
      <c r="A143" s="4" t="s">
        <v>529</v>
      </c>
      <c r="B143" s="4" t="s">
        <v>1411</v>
      </c>
      <c r="C143" s="5" t="n">
        <v>65.235</v>
      </c>
      <c r="D143" s="4" t="s">
        <v>1384</v>
      </c>
      <c r="E143" s="5" t="n">
        <v>28.56</v>
      </c>
      <c r="F143" s="4" t="s">
        <v>13</v>
      </c>
      <c r="G143" s="4" t="s">
        <v>1385</v>
      </c>
      <c r="H143" s="4" t="s">
        <v>1386</v>
      </c>
      <c r="I143" s="4" t="n">
        <v>44</v>
      </c>
      <c r="J143" s="4" t="n">
        <v>23</v>
      </c>
      <c r="K143" s="4"/>
    </row>
    <row r="144" customFormat="false" ht="15" hidden="false" customHeight="false" outlineLevel="0" collapsed="false">
      <c r="A144" s="4" t="s">
        <v>533</v>
      </c>
      <c r="B144" s="4" t="s">
        <v>1391</v>
      </c>
      <c r="C144" s="5" t="n">
        <v>115.91</v>
      </c>
      <c r="D144" s="4" t="s">
        <v>1384</v>
      </c>
      <c r="E144" s="5" t="n">
        <v>51.4</v>
      </c>
      <c r="F144" s="4" t="s">
        <v>13</v>
      </c>
      <c r="G144" s="4" t="s">
        <v>1385</v>
      </c>
      <c r="H144" s="4" t="s">
        <v>1386</v>
      </c>
      <c r="I144" s="4" t="n">
        <v>44</v>
      </c>
      <c r="J144" s="4" t="n">
        <v>23</v>
      </c>
      <c r="K144" s="4"/>
    </row>
    <row r="145" customFormat="false" ht="15" hidden="false" customHeight="false" outlineLevel="0" collapsed="false">
      <c r="A145" s="4" t="s">
        <v>536</v>
      </c>
      <c r="B145" s="4" t="s">
        <v>1399</v>
      </c>
      <c r="C145" s="5" t="n">
        <v>189.95</v>
      </c>
      <c r="D145" s="4" t="s">
        <v>1389</v>
      </c>
      <c r="E145" s="5" t="n">
        <v>96.77</v>
      </c>
      <c r="F145" s="4" t="s">
        <v>13</v>
      </c>
      <c r="G145" s="4" t="s">
        <v>1385</v>
      </c>
      <c r="H145" s="4" t="s">
        <v>1386</v>
      </c>
      <c r="I145" s="4" t="n">
        <v>44</v>
      </c>
      <c r="J145" s="4" t="n">
        <v>23</v>
      </c>
      <c r="K145" s="4"/>
    </row>
    <row r="146" customFormat="false" ht="15" hidden="false" customHeight="false" outlineLevel="0" collapsed="false">
      <c r="A146" s="4" t="s">
        <v>540</v>
      </c>
      <c r="B146" s="4" t="s">
        <v>1393</v>
      </c>
      <c r="C146" s="5" t="n">
        <v>54.9</v>
      </c>
      <c r="D146" s="4" t="s">
        <v>1384</v>
      </c>
      <c r="E146" s="5" t="n">
        <v>20.05</v>
      </c>
      <c r="F146" s="4" t="s">
        <v>13</v>
      </c>
      <c r="G146" s="4" t="s">
        <v>1385</v>
      </c>
      <c r="H146" s="4" t="s">
        <v>1386</v>
      </c>
      <c r="I146" s="4" t="n">
        <v>44</v>
      </c>
      <c r="J146" s="4" t="n">
        <v>23</v>
      </c>
      <c r="K146" s="4"/>
    </row>
    <row r="147" customFormat="false" ht="15" hidden="false" customHeight="false" outlineLevel="0" collapsed="false">
      <c r="A147" s="4" t="s">
        <v>544</v>
      </c>
      <c r="B147" s="4" t="s">
        <v>1387</v>
      </c>
      <c r="C147" s="5" t="n">
        <v>151.9</v>
      </c>
      <c r="D147" s="4" t="s">
        <v>1389</v>
      </c>
      <c r="E147" s="5" t="n">
        <v>88.72</v>
      </c>
      <c r="F147" s="4" t="s">
        <v>13</v>
      </c>
      <c r="G147" s="4" t="s">
        <v>1385</v>
      </c>
      <c r="H147" s="4" t="s">
        <v>1386</v>
      </c>
      <c r="I147" s="4" t="n">
        <v>44</v>
      </c>
      <c r="J147" s="4" t="n">
        <v>23</v>
      </c>
      <c r="K147" s="4"/>
    </row>
    <row r="148" customFormat="false" ht="15" hidden="false" customHeight="false" outlineLevel="0" collapsed="false">
      <c r="A148" s="4" t="s">
        <v>548</v>
      </c>
      <c r="B148" s="4" t="s">
        <v>1391</v>
      </c>
      <c r="C148" s="5" t="n">
        <v>240.075</v>
      </c>
      <c r="D148" s="4" t="s">
        <v>1389</v>
      </c>
      <c r="E148" s="5" t="n">
        <v>122.67</v>
      </c>
      <c r="F148" s="4" t="s">
        <v>13</v>
      </c>
      <c r="G148" s="4" t="s">
        <v>1385</v>
      </c>
      <c r="H148" s="4" t="s">
        <v>1386</v>
      </c>
      <c r="I148" s="4" t="n">
        <v>44</v>
      </c>
      <c r="J148" s="4" t="n">
        <v>23</v>
      </c>
      <c r="K148" s="4"/>
    </row>
    <row r="149" customFormat="false" ht="15" hidden="false" customHeight="false" outlineLevel="0" collapsed="false">
      <c r="A149" s="4" t="s">
        <v>552</v>
      </c>
      <c r="B149" s="4" t="s">
        <v>1391</v>
      </c>
      <c r="C149" s="5" t="n">
        <v>103.9</v>
      </c>
      <c r="D149" s="4" t="s">
        <v>1384</v>
      </c>
      <c r="E149" s="5" t="n">
        <v>56.2</v>
      </c>
      <c r="F149" s="4" t="s">
        <v>13</v>
      </c>
      <c r="G149" s="4" t="s">
        <v>1385</v>
      </c>
      <c r="H149" s="4" t="s">
        <v>1386</v>
      </c>
      <c r="I149" s="4" t="n">
        <v>44</v>
      </c>
      <c r="J149" s="4" t="n">
        <v>23</v>
      </c>
      <c r="K149" s="4"/>
    </row>
    <row r="150" customFormat="false" ht="15" hidden="false" customHeight="false" outlineLevel="0" collapsed="false">
      <c r="A150" s="4" t="s">
        <v>556</v>
      </c>
      <c r="B150" s="4" t="s">
        <v>1392</v>
      </c>
      <c r="C150" s="5" t="n">
        <v>119.2</v>
      </c>
      <c r="D150" s="4" t="s">
        <v>1384</v>
      </c>
      <c r="E150" s="5" t="n">
        <v>53.28</v>
      </c>
      <c r="F150" s="4" t="s">
        <v>13</v>
      </c>
      <c r="G150" s="4" t="s">
        <v>1385</v>
      </c>
      <c r="H150" s="4" t="s">
        <v>1386</v>
      </c>
      <c r="I150" s="4" t="n">
        <v>44</v>
      </c>
      <c r="J150" s="4" t="n">
        <v>23</v>
      </c>
      <c r="K150" s="4"/>
    </row>
    <row r="151" customFormat="false" ht="15" hidden="false" customHeight="false" outlineLevel="0" collapsed="false">
      <c r="A151" s="4" t="s">
        <v>559</v>
      </c>
      <c r="B151" s="4" t="s">
        <v>1391</v>
      </c>
      <c r="C151" s="5" t="n">
        <v>79.72</v>
      </c>
      <c r="D151" s="4" t="s">
        <v>1384</v>
      </c>
      <c r="E151" s="5" t="n">
        <v>36.71</v>
      </c>
      <c r="F151" s="4" t="s">
        <v>13</v>
      </c>
      <c r="G151" s="4" t="s">
        <v>1385</v>
      </c>
      <c r="H151" s="4" t="s">
        <v>1386</v>
      </c>
      <c r="I151" s="4" t="n">
        <v>44</v>
      </c>
      <c r="J151" s="4" t="n">
        <v>23</v>
      </c>
      <c r="K151" s="4"/>
    </row>
    <row r="152" customFormat="false" ht="15" hidden="false" customHeight="false" outlineLevel="0" collapsed="false">
      <c r="A152" s="4" t="s">
        <v>563</v>
      </c>
      <c r="B152" s="4" t="s">
        <v>1391</v>
      </c>
      <c r="C152" s="5" t="n">
        <v>199.99</v>
      </c>
      <c r="D152" s="4" t="s">
        <v>1389</v>
      </c>
      <c r="E152" s="5" t="n">
        <v>83.4</v>
      </c>
      <c r="F152" s="4" t="s">
        <v>13</v>
      </c>
      <c r="G152" s="4" t="s">
        <v>1385</v>
      </c>
      <c r="H152" s="4" t="s">
        <v>1386</v>
      </c>
      <c r="I152" s="4" t="n">
        <v>44</v>
      </c>
      <c r="J152" s="4" t="n">
        <v>23</v>
      </c>
      <c r="K152" s="4"/>
    </row>
    <row r="153" customFormat="false" ht="15" hidden="false" customHeight="false" outlineLevel="0" collapsed="false">
      <c r="A153" s="4" t="s">
        <v>567</v>
      </c>
      <c r="B153" s="4" t="s">
        <v>1419</v>
      </c>
      <c r="C153" s="5" t="n">
        <v>9.95</v>
      </c>
      <c r="D153" s="4" t="s">
        <v>1420</v>
      </c>
      <c r="E153" s="5" t="n">
        <v>7.78</v>
      </c>
      <c r="F153" s="4" t="s">
        <v>13</v>
      </c>
      <c r="G153" s="4" t="s">
        <v>1385</v>
      </c>
      <c r="H153" s="4" t="s">
        <v>1386</v>
      </c>
      <c r="I153" s="4" t="n">
        <v>44</v>
      </c>
      <c r="J153" s="4" t="n">
        <v>23</v>
      </c>
      <c r="K153" s="4"/>
    </row>
    <row r="154" customFormat="false" ht="15" hidden="false" customHeight="false" outlineLevel="0" collapsed="false">
      <c r="A154" s="4" t="s">
        <v>571</v>
      </c>
      <c r="B154" s="4" t="s">
        <v>1387</v>
      </c>
      <c r="C154" s="5" t="n">
        <v>57.5</v>
      </c>
      <c r="D154" s="4" t="s">
        <v>1384</v>
      </c>
      <c r="E154" s="5" t="n">
        <v>25.49</v>
      </c>
      <c r="F154" s="4" t="s">
        <v>13</v>
      </c>
      <c r="G154" s="4" t="s">
        <v>1385</v>
      </c>
      <c r="H154" s="4" t="s">
        <v>1386</v>
      </c>
      <c r="I154" s="4" t="n">
        <v>44</v>
      </c>
      <c r="J154" s="4" t="n">
        <v>23</v>
      </c>
      <c r="K154" s="4"/>
    </row>
    <row r="155" customFormat="false" ht="15" hidden="false" customHeight="false" outlineLevel="0" collapsed="false">
      <c r="A155" s="4" t="s">
        <v>574</v>
      </c>
      <c r="B155" s="4" t="s">
        <v>1421</v>
      </c>
      <c r="C155" s="5" t="n">
        <v>26.81</v>
      </c>
      <c r="D155" s="4" t="s">
        <v>1389</v>
      </c>
      <c r="E155" s="5" t="n">
        <v>14.91</v>
      </c>
      <c r="F155" s="4" t="s">
        <v>13</v>
      </c>
      <c r="G155" s="4" t="s">
        <v>1385</v>
      </c>
      <c r="H155" s="4" t="s">
        <v>1386</v>
      </c>
      <c r="I155" s="4" t="n">
        <v>44</v>
      </c>
      <c r="J155" s="4" t="n">
        <v>23</v>
      </c>
      <c r="K155" s="4"/>
    </row>
    <row r="156" customFormat="false" ht="15" hidden="false" customHeight="false" outlineLevel="0" collapsed="false">
      <c r="A156" s="4" t="s">
        <v>577</v>
      </c>
      <c r="B156" s="4" t="s">
        <v>1399</v>
      </c>
      <c r="C156" s="5" t="n">
        <v>46.46</v>
      </c>
      <c r="D156" s="4" t="s">
        <v>1384</v>
      </c>
      <c r="E156" s="5" t="n">
        <v>23.2</v>
      </c>
      <c r="F156" s="4" t="s">
        <v>13</v>
      </c>
      <c r="G156" s="4" t="s">
        <v>1385</v>
      </c>
      <c r="H156" s="4" t="s">
        <v>1386</v>
      </c>
      <c r="I156" s="4" t="n">
        <v>44</v>
      </c>
      <c r="J156" s="4" t="n">
        <v>23</v>
      </c>
      <c r="K156" s="4"/>
    </row>
    <row r="157" customFormat="false" ht="15" hidden="false" customHeight="false" outlineLevel="0" collapsed="false">
      <c r="A157" s="4" t="s">
        <v>580</v>
      </c>
      <c r="B157" s="4" t="s">
        <v>1391</v>
      </c>
      <c r="C157" s="5" t="n">
        <v>53.49</v>
      </c>
      <c r="D157" s="4" t="s">
        <v>1389</v>
      </c>
      <c r="E157" s="5" t="n">
        <v>26.68</v>
      </c>
      <c r="F157" s="4" t="s">
        <v>13</v>
      </c>
      <c r="G157" s="4" t="s">
        <v>1385</v>
      </c>
      <c r="H157" s="4" t="s">
        <v>1386</v>
      </c>
      <c r="I157" s="4" t="n">
        <v>44</v>
      </c>
      <c r="J157" s="4" t="n">
        <v>23</v>
      </c>
      <c r="K157" s="4"/>
    </row>
    <row r="158" customFormat="false" ht="15" hidden="false" customHeight="false" outlineLevel="0" collapsed="false">
      <c r="A158" s="4" t="s">
        <v>584</v>
      </c>
      <c r="B158" s="4" t="s">
        <v>1411</v>
      </c>
      <c r="C158" s="5" t="n">
        <v>47.29</v>
      </c>
      <c r="D158" s="4" t="s">
        <v>1384</v>
      </c>
      <c r="E158" s="5" t="n">
        <v>20.35</v>
      </c>
      <c r="F158" s="4" t="s">
        <v>13</v>
      </c>
      <c r="G158" s="4" t="s">
        <v>1385</v>
      </c>
      <c r="H158" s="4" t="s">
        <v>1386</v>
      </c>
      <c r="I158" s="4" t="n">
        <v>44</v>
      </c>
      <c r="J158" s="4" t="n">
        <v>23</v>
      </c>
      <c r="K158" s="4"/>
    </row>
    <row r="159" customFormat="false" ht="15" hidden="false" customHeight="false" outlineLevel="0" collapsed="false">
      <c r="A159" s="4" t="s">
        <v>588</v>
      </c>
      <c r="B159" s="4" t="s">
        <v>1391</v>
      </c>
      <c r="C159" s="5" t="n">
        <v>18.27</v>
      </c>
      <c r="D159" s="4" t="s">
        <v>1384</v>
      </c>
      <c r="E159" s="5" t="n">
        <v>8.5</v>
      </c>
      <c r="F159" s="4" t="s">
        <v>13</v>
      </c>
      <c r="G159" s="4" t="s">
        <v>1385</v>
      </c>
      <c r="H159" s="4" t="s">
        <v>1386</v>
      </c>
      <c r="I159" s="4" t="n">
        <v>44</v>
      </c>
      <c r="J159" s="4" t="n">
        <v>23</v>
      </c>
      <c r="K159" s="4"/>
    </row>
    <row r="160" customFormat="false" ht="15" hidden="false" customHeight="false" outlineLevel="0" collapsed="false">
      <c r="A160" s="4" t="s">
        <v>592</v>
      </c>
      <c r="B160" s="4" t="s">
        <v>1391</v>
      </c>
      <c r="C160" s="5" t="n">
        <v>162</v>
      </c>
      <c r="D160" s="4" t="s">
        <v>1422</v>
      </c>
      <c r="E160" s="5" t="n">
        <v>80.38</v>
      </c>
      <c r="F160" s="4" t="s">
        <v>13</v>
      </c>
      <c r="G160" s="4" t="s">
        <v>1385</v>
      </c>
      <c r="H160" s="4" t="s">
        <v>1386</v>
      </c>
      <c r="I160" s="4" t="n">
        <v>44</v>
      </c>
      <c r="J160" s="4" t="n">
        <v>23</v>
      </c>
      <c r="K160" s="4"/>
    </row>
    <row r="161" customFormat="false" ht="15" hidden="false" customHeight="false" outlineLevel="0" collapsed="false">
      <c r="A161" s="4" t="s">
        <v>595</v>
      </c>
      <c r="B161" s="4" t="s">
        <v>1423</v>
      </c>
      <c r="C161" s="5" t="n">
        <v>91.17</v>
      </c>
      <c r="D161" s="4" t="s">
        <v>1389</v>
      </c>
      <c r="E161" s="5" t="n">
        <v>43.17</v>
      </c>
      <c r="F161" s="4" t="s">
        <v>13</v>
      </c>
      <c r="G161" s="4" t="s">
        <v>1385</v>
      </c>
      <c r="H161" s="4" t="s">
        <v>1386</v>
      </c>
      <c r="I161" s="4" t="n">
        <v>44</v>
      </c>
      <c r="J161" s="4" t="n">
        <v>23</v>
      </c>
      <c r="K161" s="4"/>
    </row>
    <row r="162" customFormat="false" ht="15" hidden="false" customHeight="false" outlineLevel="0" collapsed="false">
      <c r="A162" s="4" t="s">
        <v>599</v>
      </c>
      <c r="B162" s="4" t="s">
        <v>1391</v>
      </c>
      <c r="C162" s="5" t="n">
        <v>172</v>
      </c>
      <c r="D162" s="4" t="s">
        <v>1384</v>
      </c>
      <c r="E162" s="5" t="n">
        <v>82.8</v>
      </c>
      <c r="F162" s="4" t="s">
        <v>13</v>
      </c>
      <c r="G162" s="4" t="s">
        <v>1385</v>
      </c>
      <c r="H162" s="4" t="s">
        <v>1386</v>
      </c>
      <c r="I162" s="4" t="n">
        <v>44</v>
      </c>
      <c r="J162" s="4" t="n">
        <v>23</v>
      </c>
      <c r="K162" s="4"/>
    </row>
    <row r="163" customFormat="false" ht="15" hidden="false" customHeight="false" outlineLevel="0" collapsed="false">
      <c r="A163" s="4" t="s">
        <v>602</v>
      </c>
      <c r="B163" s="4" t="s">
        <v>1402</v>
      </c>
      <c r="C163" s="5" t="n">
        <v>199.73</v>
      </c>
      <c r="D163" s="4" t="s">
        <v>1389</v>
      </c>
      <c r="E163" s="5" t="n">
        <v>100.37</v>
      </c>
      <c r="F163" s="4" t="s">
        <v>13</v>
      </c>
      <c r="G163" s="4" t="s">
        <v>1385</v>
      </c>
      <c r="H163" s="4" t="s">
        <v>1386</v>
      </c>
      <c r="I163" s="4" t="n">
        <v>44</v>
      </c>
      <c r="J163" s="4" t="n">
        <v>23</v>
      </c>
      <c r="K163" s="4"/>
    </row>
    <row r="164" customFormat="false" ht="15" hidden="false" customHeight="false" outlineLevel="0" collapsed="false">
      <c r="A164" s="4" t="s">
        <v>605</v>
      </c>
      <c r="B164" s="4" t="s">
        <v>1391</v>
      </c>
      <c r="C164" s="5" t="n">
        <v>57.02</v>
      </c>
      <c r="D164" s="4" t="s">
        <v>1389</v>
      </c>
      <c r="E164" s="5" t="n">
        <v>27.42</v>
      </c>
      <c r="F164" s="4" t="s">
        <v>13</v>
      </c>
      <c r="G164" s="4" t="s">
        <v>1385</v>
      </c>
      <c r="H164" s="4" t="s">
        <v>1386</v>
      </c>
      <c r="I164" s="4" t="n">
        <v>44</v>
      </c>
      <c r="J164" s="4" t="n">
        <v>23</v>
      </c>
      <c r="K164" s="4"/>
    </row>
    <row r="165" customFormat="false" ht="15" hidden="false" customHeight="false" outlineLevel="0" collapsed="false">
      <c r="A165" s="4" t="s">
        <v>609</v>
      </c>
      <c r="B165" s="4" t="s">
        <v>1396</v>
      </c>
      <c r="C165" s="5" t="n">
        <v>115.44</v>
      </c>
      <c r="D165" s="4" t="s">
        <v>1389</v>
      </c>
      <c r="E165" s="5" t="n">
        <v>55.26</v>
      </c>
      <c r="F165" s="4" t="s">
        <v>13</v>
      </c>
      <c r="G165" s="4" t="s">
        <v>1385</v>
      </c>
      <c r="H165" s="4" t="s">
        <v>1386</v>
      </c>
      <c r="I165" s="4" t="n">
        <v>44</v>
      </c>
      <c r="J165" s="4" t="n">
        <v>23</v>
      </c>
      <c r="K165" s="4"/>
    </row>
    <row r="166" customFormat="false" ht="15" hidden="false" customHeight="false" outlineLevel="0" collapsed="false">
      <c r="A166" s="4" t="s">
        <v>612</v>
      </c>
      <c r="B166" s="4" t="s">
        <v>1396</v>
      </c>
      <c r="C166" s="5" t="n">
        <v>185</v>
      </c>
      <c r="D166" s="4" t="s">
        <v>1389</v>
      </c>
      <c r="E166" s="5" t="n">
        <v>83.96</v>
      </c>
      <c r="F166" s="4" t="s">
        <v>13</v>
      </c>
      <c r="G166" s="4" t="s">
        <v>1385</v>
      </c>
      <c r="H166" s="4" t="s">
        <v>1386</v>
      </c>
      <c r="I166" s="4" t="n">
        <v>44</v>
      </c>
      <c r="J166" s="4" t="n">
        <v>23</v>
      </c>
      <c r="K166" s="4"/>
    </row>
    <row r="167" customFormat="false" ht="15" hidden="false" customHeight="false" outlineLevel="0" collapsed="false">
      <c r="A167" s="4" t="s">
        <v>616</v>
      </c>
      <c r="B167" s="4" t="s">
        <v>1423</v>
      </c>
      <c r="C167" s="5" t="n">
        <v>57.86</v>
      </c>
      <c r="D167" s="4" t="s">
        <v>1412</v>
      </c>
      <c r="E167" s="5" t="n">
        <v>28.52</v>
      </c>
      <c r="F167" s="4" t="s">
        <v>13</v>
      </c>
      <c r="G167" s="4" t="s">
        <v>1385</v>
      </c>
      <c r="H167" s="4" t="s">
        <v>1386</v>
      </c>
      <c r="I167" s="4" t="n">
        <v>44</v>
      </c>
      <c r="J167" s="4" t="n">
        <v>23</v>
      </c>
      <c r="K167" s="4"/>
    </row>
    <row r="168" customFormat="false" ht="15" hidden="false" customHeight="false" outlineLevel="0" collapsed="false">
      <c r="A168" s="4" t="s">
        <v>619</v>
      </c>
      <c r="B168" s="4" t="s">
        <v>1392</v>
      </c>
      <c r="C168" s="5" t="n">
        <v>48.25</v>
      </c>
      <c r="D168" s="4" t="s">
        <v>1384</v>
      </c>
      <c r="E168" s="5" t="n">
        <v>21.88</v>
      </c>
      <c r="F168" s="4" t="s">
        <v>13</v>
      </c>
      <c r="G168" s="4" t="s">
        <v>1385</v>
      </c>
      <c r="H168" s="4" t="s">
        <v>1386</v>
      </c>
      <c r="I168" s="4" t="n">
        <v>44</v>
      </c>
      <c r="J168" s="4" t="n">
        <v>23</v>
      </c>
      <c r="K168" s="4"/>
    </row>
    <row r="169" customFormat="false" ht="15" hidden="false" customHeight="false" outlineLevel="0" collapsed="false">
      <c r="A169" s="4" t="s">
        <v>622</v>
      </c>
      <c r="B169" s="4" t="s">
        <v>1387</v>
      </c>
      <c r="C169" s="5" t="n">
        <v>23.22</v>
      </c>
      <c r="D169" s="4" t="s">
        <v>1384</v>
      </c>
      <c r="E169" s="5" t="n">
        <v>10.66</v>
      </c>
      <c r="F169" s="4" t="s">
        <v>13</v>
      </c>
      <c r="G169" s="4" t="s">
        <v>1385</v>
      </c>
      <c r="H169" s="4" t="s">
        <v>1386</v>
      </c>
      <c r="I169" s="4" t="n">
        <v>44</v>
      </c>
      <c r="J169" s="4" t="n">
        <v>23</v>
      </c>
      <c r="K169" s="4"/>
    </row>
    <row r="170" customFormat="false" ht="15" hidden="false" customHeight="false" outlineLevel="0" collapsed="false">
      <c r="A170" s="4" t="s">
        <v>626</v>
      </c>
      <c r="B170" s="4" t="s">
        <v>1401</v>
      </c>
      <c r="C170" s="5" t="n">
        <v>495.45</v>
      </c>
      <c r="D170" s="4" t="s">
        <v>1389</v>
      </c>
      <c r="E170" s="5" t="n">
        <v>256.2</v>
      </c>
      <c r="F170" s="4" t="s">
        <v>13</v>
      </c>
      <c r="G170" s="4" t="s">
        <v>1385</v>
      </c>
      <c r="H170" s="4" t="s">
        <v>1386</v>
      </c>
      <c r="I170" s="4" t="n">
        <v>44</v>
      </c>
      <c r="J170" s="4" t="n">
        <v>23</v>
      </c>
      <c r="K170" s="4"/>
    </row>
    <row r="171" customFormat="false" ht="15" hidden="false" customHeight="false" outlineLevel="0" collapsed="false">
      <c r="A171" s="4" t="s">
        <v>630</v>
      </c>
      <c r="B171" s="4" t="s">
        <v>1396</v>
      </c>
      <c r="C171" s="5" t="n">
        <v>94.8</v>
      </c>
      <c r="D171" s="4" t="s">
        <v>1384</v>
      </c>
      <c r="E171" s="5" t="n">
        <v>42.02</v>
      </c>
      <c r="F171" s="4" t="s">
        <v>13</v>
      </c>
      <c r="G171" s="4" t="s">
        <v>1385</v>
      </c>
      <c r="H171" s="4" t="s">
        <v>1386</v>
      </c>
      <c r="I171" s="4" t="n">
        <v>44</v>
      </c>
      <c r="J171" s="4" t="n">
        <v>23</v>
      </c>
      <c r="K171" s="4"/>
    </row>
    <row r="172" customFormat="false" ht="15" hidden="false" customHeight="false" outlineLevel="0" collapsed="false">
      <c r="A172" s="4" t="s">
        <v>634</v>
      </c>
      <c r="B172" s="4" t="s">
        <v>1405</v>
      </c>
      <c r="C172" s="5" t="n">
        <v>58.79</v>
      </c>
      <c r="D172" s="4" t="s">
        <v>1412</v>
      </c>
      <c r="E172" s="5" t="n">
        <v>34.37</v>
      </c>
      <c r="F172" s="4" t="s">
        <v>13</v>
      </c>
      <c r="G172" s="4" t="s">
        <v>1385</v>
      </c>
      <c r="H172" s="4" t="s">
        <v>1386</v>
      </c>
      <c r="I172" s="4" t="n">
        <v>44</v>
      </c>
      <c r="J172" s="4" t="n">
        <v>23</v>
      </c>
      <c r="K172" s="4"/>
    </row>
    <row r="173" customFormat="false" ht="15" hidden="false" customHeight="false" outlineLevel="0" collapsed="false">
      <c r="A173" s="4" t="s">
        <v>637</v>
      </c>
      <c r="B173" s="4" t="s">
        <v>1391</v>
      </c>
      <c r="C173" s="5" t="n">
        <v>70.06</v>
      </c>
      <c r="D173" s="4" t="s">
        <v>1384</v>
      </c>
      <c r="E173" s="5" t="n">
        <v>33.28</v>
      </c>
      <c r="F173" s="4" t="s">
        <v>13</v>
      </c>
      <c r="G173" s="4" t="s">
        <v>1385</v>
      </c>
      <c r="H173" s="4" t="s">
        <v>1386</v>
      </c>
      <c r="I173" s="4" t="n">
        <v>44</v>
      </c>
      <c r="J173" s="4" t="n">
        <v>23</v>
      </c>
      <c r="K173" s="4"/>
    </row>
    <row r="174" customFormat="false" ht="15" hidden="false" customHeight="false" outlineLevel="0" collapsed="false">
      <c r="A174" s="4" t="s">
        <v>640</v>
      </c>
      <c r="B174" s="4" t="s">
        <v>1392</v>
      </c>
      <c r="C174" s="5" t="n">
        <v>81.8</v>
      </c>
      <c r="D174" s="4" t="s">
        <v>1384</v>
      </c>
      <c r="E174" s="5" t="n">
        <v>35.31</v>
      </c>
      <c r="F174" s="4" t="s">
        <v>13</v>
      </c>
      <c r="G174" s="4" t="s">
        <v>1385</v>
      </c>
      <c r="H174" s="4" t="s">
        <v>1386</v>
      </c>
      <c r="I174" s="4" t="n">
        <v>44</v>
      </c>
      <c r="J174" s="4" t="n">
        <v>23</v>
      </c>
      <c r="K174" s="4"/>
    </row>
    <row r="175" customFormat="false" ht="15" hidden="false" customHeight="false" outlineLevel="0" collapsed="false">
      <c r="A175" s="4" t="s">
        <v>644</v>
      </c>
      <c r="B175" s="4" t="s">
        <v>1392</v>
      </c>
      <c r="C175" s="5" t="n">
        <v>274</v>
      </c>
      <c r="D175" s="4" t="s">
        <v>1384</v>
      </c>
      <c r="E175" s="5" t="n">
        <v>115.78</v>
      </c>
      <c r="F175" s="4" t="s">
        <v>1408</v>
      </c>
      <c r="G175" s="4" t="s">
        <v>1385</v>
      </c>
      <c r="H175" s="4" t="s">
        <v>1409</v>
      </c>
      <c r="I175" s="4" t="n">
        <v>44</v>
      </c>
      <c r="J175" s="4" t="n">
        <v>23</v>
      </c>
      <c r="K175" s="4" t="s">
        <v>1410</v>
      </c>
    </row>
    <row r="176" customFormat="false" ht="15" hidden="false" customHeight="false" outlineLevel="0" collapsed="false">
      <c r="A176" s="4" t="s">
        <v>648</v>
      </c>
      <c r="B176" s="4" t="s">
        <v>1402</v>
      </c>
      <c r="C176" s="5" t="n">
        <v>235.99</v>
      </c>
      <c r="D176" s="4" t="s">
        <v>1384</v>
      </c>
      <c r="E176" s="5" t="n">
        <v>105.4</v>
      </c>
      <c r="F176" s="4" t="s">
        <v>13</v>
      </c>
      <c r="G176" s="4" t="s">
        <v>1385</v>
      </c>
      <c r="H176" s="4" t="s">
        <v>1386</v>
      </c>
      <c r="I176" s="4" t="n">
        <v>44</v>
      </c>
      <c r="J176" s="4" t="n">
        <v>23</v>
      </c>
      <c r="K176" s="4"/>
    </row>
    <row r="177" customFormat="false" ht="15" hidden="false" customHeight="false" outlineLevel="0" collapsed="false">
      <c r="A177" s="4" t="s">
        <v>652</v>
      </c>
      <c r="B177" s="4" t="s">
        <v>1383</v>
      </c>
      <c r="C177" s="5" t="n">
        <v>62</v>
      </c>
      <c r="D177" s="4" t="s">
        <v>1384</v>
      </c>
      <c r="E177" s="5" t="n">
        <v>24.5</v>
      </c>
      <c r="F177" s="4" t="s">
        <v>13</v>
      </c>
      <c r="G177" s="4" t="s">
        <v>1385</v>
      </c>
      <c r="H177" s="4" t="s">
        <v>1386</v>
      </c>
      <c r="I177" s="4" t="n">
        <v>44</v>
      </c>
      <c r="J177" s="4" t="n">
        <v>23</v>
      </c>
      <c r="K177" s="4"/>
    </row>
    <row r="178" customFormat="false" ht="15" hidden="false" customHeight="false" outlineLevel="0" collapsed="false">
      <c r="A178" s="4" t="s">
        <v>656</v>
      </c>
      <c r="B178" s="4" t="s">
        <v>1411</v>
      </c>
      <c r="C178" s="5" t="n">
        <v>112.88</v>
      </c>
      <c r="D178" s="4" t="s">
        <v>1424</v>
      </c>
      <c r="E178" s="5" t="n">
        <v>47.77</v>
      </c>
      <c r="F178" s="4" t="s">
        <v>13</v>
      </c>
      <c r="G178" s="4" t="s">
        <v>1385</v>
      </c>
      <c r="H178" s="4" t="s">
        <v>1386</v>
      </c>
      <c r="I178" s="4" t="n">
        <v>44</v>
      </c>
      <c r="J178" s="4" t="n">
        <v>23</v>
      </c>
      <c r="K178" s="4"/>
    </row>
    <row r="179" customFormat="false" ht="15" hidden="false" customHeight="false" outlineLevel="0" collapsed="false">
      <c r="A179" s="4" t="s">
        <v>659</v>
      </c>
      <c r="B179" s="4" t="s">
        <v>1393</v>
      </c>
      <c r="C179" s="5" t="n">
        <v>51</v>
      </c>
      <c r="D179" s="4" t="s">
        <v>1389</v>
      </c>
      <c r="E179" s="5" t="n">
        <v>29.38</v>
      </c>
      <c r="F179" s="4" t="s">
        <v>13</v>
      </c>
      <c r="G179" s="4" t="s">
        <v>1385</v>
      </c>
      <c r="H179" s="4" t="s">
        <v>1386</v>
      </c>
      <c r="I179" s="4" t="n">
        <v>44</v>
      </c>
      <c r="J179" s="4" t="n">
        <v>23</v>
      </c>
      <c r="K179" s="4"/>
    </row>
    <row r="180" customFormat="false" ht="15" hidden="false" customHeight="false" outlineLevel="0" collapsed="false">
      <c r="A180" s="4" t="s">
        <v>662</v>
      </c>
      <c r="B180" s="4" t="s">
        <v>1391</v>
      </c>
      <c r="C180" s="5" t="n">
        <v>570</v>
      </c>
      <c r="D180" s="4" t="s">
        <v>1384</v>
      </c>
      <c r="E180" s="5" t="n">
        <v>328.15</v>
      </c>
      <c r="F180" s="4" t="s">
        <v>13</v>
      </c>
      <c r="G180" s="4" t="s">
        <v>1385</v>
      </c>
      <c r="H180" s="4" t="s">
        <v>1386</v>
      </c>
      <c r="I180" s="4" t="n">
        <v>44</v>
      </c>
      <c r="J180" s="4" t="n">
        <v>23</v>
      </c>
      <c r="K180" s="4"/>
    </row>
    <row r="181" customFormat="false" ht="15" hidden="false" customHeight="false" outlineLevel="0" collapsed="false">
      <c r="A181" s="4" t="s">
        <v>666</v>
      </c>
      <c r="B181" s="4" t="s">
        <v>1402</v>
      </c>
      <c r="C181" s="5" t="n">
        <v>120.7</v>
      </c>
      <c r="D181" s="4" t="s">
        <v>1389</v>
      </c>
      <c r="E181" s="5" t="n">
        <v>56.58</v>
      </c>
      <c r="F181" s="4" t="s">
        <v>13</v>
      </c>
      <c r="G181" s="4" t="s">
        <v>1385</v>
      </c>
      <c r="H181" s="4" t="s">
        <v>1386</v>
      </c>
      <c r="I181" s="4" t="n">
        <v>44</v>
      </c>
      <c r="J181" s="4" t="n">
        <v>23</v>
      </c>
      <c r="K181" s="4"/>
    </row>
    <row r="182" customFormat="false" ht="15" hidden="false" customHeight="false" outlineLevel="0" collapsed="false">
      <c r="A182" s="4" t="s">
        <v>669</v>
      </c>
      <c r="B182" s="4" t="s">
        <v>1405</v>
      </c>
      <c r="C182" s="5" t="n">
        <v>84.7</v>
      </c>
      <c r="D182" s="4" t="s">
        <v>1389</v>
      </c>
      <c r="E182" s="5" t="n">
        <v>55.89</v>
      </c>
      <c r="F182" s="4" t="s">
        <v>13</v>
      </c>
      <c r="G182" s="4" t="s">
        <v>1385</v>
      </c>
      <c r="H182" s="4" t="s">
        <v>1386</v>
      </c>
      <c r="I182" s="4" t="n">
        <v>44</v>
      </c>
      <c r="J182" s="4" t="n">
        <v>23</v>
      </c>
      <c r="K182" s="4"/>
    </row>
    <row r="183" customFormat="false" ht="15" hidden="false" customHeight="false" outlineLevel="0" collapsed="false">
      <c r="A183" s="4" t="s">
        <v>672</v>
      </c>
      <c r="B183" s="4" t="s">
        <v>1411</v>
      </c>
      <c r="C183" s="5" t="n">
        <v>180.35</v>
      </c>
      <c r="D183" s="4" t="s">
        <v>1384</v>
      </c>
      <c r="E183" s="5" t="n">
        <v>86.03</v>
      </c>
      <c r="F183" s="4" t="s">
        <v>13</v>
      </c>
      <c r="G183" s="4" t="s">
        <v>1385</v>
      </c>
      <c r="H183" s="4" t="s">
        <v>1386</v>
      </c>
      <c r="I183" s="4" t="n">
        <v>44</v>
      </c>
      <c r="J183" s="4" t="n">
        <v>23</v>
      </c>
      <c r="K183" s="4"/>
    </row>
    <row r="184" customFormat="false" ht="15" hidden="false" customHeight="false" outlineLevel="0" collapsed="false">
      <c r="A184" s="4" t="s">
        <v>675</v>
      </c>
      <c r="B184" s="4" t="s">
        <v>1388</v>
      </c>
      <c r="C184" s="5" t="n">
        <v>28.32</v>
      </c>
      <c r="D184" s="4" t="s">
        <v>1384</v>
      </c>
      <c r="E184" s="5" t="n">
        <v>12.47</v>
      </c>
      <c r="F184" s="4" t="s">
        <v>13</v>
      </c>
      <c r="G184" s="4" t="s">
        <v>1385</v>
      </c>
      <c r="H184" s="4" t="s">
        <v>1386</v>
      </c>
      <c r="I184" s="4" t="n">
        <v>44</v>
      </c>
      <c r="J184" s="4" t="n">
        <v>23</v>
      </c>
      <c r="K184" s="4"/>
    </row>
    <row r="185" customFormat="false" ht="15" hidden="false" customHeight="false" outlineLevel="0" collapsed="false">
      <c r="A185" s="4" t="s">
        <v>678</v>
      </c>
      <c r="B185" s="4" t="s">
        <v>1405</v>
      </c>
      <c r="C185" s="5" t="n">
        <v>280.08</v>
      </c>
      <c r="D185" s="4" t="s">
        <v>1389</v>
      </c>
      <c r="E185" s="5" t="n">
        <v>161.8</v>
      </c>
      <c r="F185" s="4" t="s">
        <v>13</v>
      </c>
      <c r="G185" s="4" t="s">
        <v>1385</v>
      </c>
      <c r="H185" s="4" t="s">
        <v>1386</v>
      </c>
      <c r="I185" s="4" t="n">
        <v>44</v>
      </c>
      <c r="J185" s="4" t="n">
        <v>23</v>
      </c>
      <c r="K185" s="4"/>
    </row>
    <row r="186" customFormat="false" ht="15" hidden="false" customHeight="false" outlineLevel="0" collapsed="false">
      <c r="A186" s="4" t="s">
        <v>682</v>
      </c>
      <c r="B186" s="4" t="s">
        <v>1390</v>
      </c>
      <c r="C186" s="5" t="n">
        <v>307.29</v>
      </c>
      <c r="D186" s="4" t="s">
        <v>1389</v>
      </c>
      <c r="E186" s="5" t="n">
        <v>177.5</v>
      </c>
      <c r="F186" s="4" t="s">
        <v>13</v>
      </c>
      <c r="G186" s="4" t="s">
        <v>1385</v>
      </c>
      <c r="H186" s="4" t="s">
        <v>1386</v>
      </c>
      <c r="I186" s="4" t="n">
        <v>44</v>
      </c>
      <c r="J186" s="4" t="n">
        <v>23</v>
      </c>
      <c r="K186" s="4"/>
    </row>
    <row r="187" customFormat="false" ht="15" hidden="false" customHeight="false" outlineLevel="0" collapsed="false">
      <c r="A187" s="4" t="s">
        <v>686</v>
      </c>
      <c r="B187" s="4" t="s">
        <v>1395</v>
      </c>
      <c r="C187" s="5" t="n">
        <v>50.27</v>
      </c>
      <c r="D187" s="4" t="s">
        <v>1384</v>
      </c>
      <c r="E187" s="5" t="n">
        <v>24.65</v>
      </c>
      <c r="F187" s="4" t="s">
        <v>13</v>
      </c>
      <c r="G187" s="4" t="s">
        <v>1385</v>
      </c>
      <c r="H187" s="4" t="s">
        <v>1386</v>
      </c>
      <c r="I187" s="4" t="n">
        <v>44</v>
      </c>
      <c r="J187" s="4" t="n">
        <v>23</v>
      </c>
      <c r="K187" s="4"/>
    </row>
    <row r="188" customFormat="false" ht="15" hidden="false" customHeight="false" outlineLevel="0" collapsed="false">
      <c r="A188" s="4" t="s">
        <v>690</v>
      </c>
      <c r="B188" s="4" t="s">
        <v>1383</v>
      </c>
      <c r="C188" s="5" t="n">
        <v>58.052</v>
      </c>
      <c r="D188" s="4" t="s">
        <v>1389</v>
      </c>
      <c r="E188" s="5" t="n">
        <v>30.8</v>
      </c>
      <c r="F188" s="4" t="s">
        <v>13</v>
      </c>
      <c r="G188" s="4" t="s">
        <v>1385</v>
      </c>
      <c r="H188" s="4" t="s">
        <v>1386</v>
      </c>
      <c r="I188" s="4" t="n">
        <v>44</v>
      </c>
      <c r="J188" s="4" t="n">
        <v>23</v>
      </c>
      <c r="K188" s="4"/>
    </row>
    <row r="189" customFormat="false" ht="15" hidden="false" customHeight="false" outlineLevel="0" collapsed="false">
      <c r="A189" s="4" t="s">
        <v>694</v>
      </c>
      <c r="B189" s="4" t="s">
        <v>1402</v>
      </c>
      <c r="C189" s="5" t="n">
        <v>54.8</v>
      </c>
      <c r="D189" s="4" t="s">
        <v>1389</v>
      </c>
      <c r="E189" s="5" t="n">
        <v>29.9</v>
      </c>
      <c r="F189" s="4" t="s">
        <v>13</v>
      </c>
      <c r="G189" s="4" t="s">
        <v>1385</v>
      </c>
      <c r="H189" s="4" t="s">
        <v>1386</v>
      </c>
      <c r="I189" s="4" t="n">
        <v>44</v>
      </c>
      <c r="J189" s="4" t="n">
        <v>23</v>
      </c>
      <c r="K189" s="4"/>
    </row>
    <row r="190" customFormat="false" ht="15" hidden="false" customHeight="false" outlineLevel="0" collapsed="false">
      <c r="A190" s="4" t="s">
        <v>698</v>
      </c>
      <c r="B190" s="4" t="s">
        <v>1401</v>
      </c>
      <c r="C190" s="5" t="n">
        <v>13.22</v>
      </c>
      <c r="D190" s="4" t="s">
        <v>1384</v>
      </c>
      <c r="E190" s="5" t="n">
        <v>7.97</v>
      </c>
      <c r="F190" s="4" t="s">
        <v>13</v>
      </c>
      <c r="G190" s="4" t="s">
        <v>1385</v>
      </c>
      <c r="H190" s="4" t="s">
        <v>1386</v>
      </c>
      <c r="I190" s="4" t="n">
        <v>44</v>
      </c>
      <c r="J190" s="4" t="n">
        <v>23</v>
      </c>
      <c r="K190" s="4"/>
    </row>
    <row r="191" customFormat="false" ht="15" hidden="false" customHeight="false" outlineLevel="0" collapsed="false">
      <c r="A191" s="4" t="s">
        <v>701</v>
      </c>
      <c r="B191" s="4" t="s">
        <v>1387</v>
      </c>
      <c r="C191" s="5" t="n">
        <v>90</v>
      </c>
      <c r="D191" s="4" t="s">
        <v>1389</v>
      </c>
      <c r="E191" s="5" t="n">
        <v>47.75</v>
      </c>
      <c r="F191" s="4" t="s">
        <v>13</v>
      </c>
      <c r="G191" s="4" t="s">
        <v>1385</v>
      </c>
      <c r="H191" s="4" t="s">
        <v>1386</v>
      </c>
      <c r="I191" s="4" t="n">
        <v>44</v>
      </c>
      <c r="J191" s="4" t="n">
        <v>23</v>
      </c>
      <c r="K191" s="4"/>
    </row>
    <row r="192" customFormat="false" ht="15" hidden="false" customHeight="false" outlineLevel="0" collapsed="false">
      <c r="A192" s="4" t="s">
        <v>705</v>
      </c>
      <c r="B192" s="4" t="s">
        <v>1392</v>
      </c>
      <c r="C192" s="5" t="n">
        <v>18.5</v>
      </c>
      <c r="D192" s="4" t="s">
        <v>1384</v>
      </c>
      <c r="E192" s="5" t="n">
        <v>12.1</v>
      </c>
      <c r="F192" s="4" t="s">
        <v>13</v>
      </c>
      <c r="G192" s="4" t="s">
        <v>1385</v>
      </c>
      <c r="H192" s="4" t="s">
        <v>1386</v>
      </c>
      <c r="I192" s="4" t="n">
        <v>44</v>
      </c>
      <c r="J192" s="4" t="n">
        <v>23</v>
      </c>
      <c r="K192" s="4"/>
    </row>
    <row r="193" customFormat="false" ht="15" hidden="false" customHeight="false" outlineLevel="0" collapsed="false">
      <c r="A193" s="4" t="s">
        <v>708</v>
      </c>
      <c r="B193" s="4" t="s">
        <v>1391</v>
      </c>
      <c r="C193" s="5" t="n">
        <v>43.87</v>
      </c>
      <c r="D193" s="4" t="s">
        <v>1389</v>
      </c>
      <c r="E193" s="5" t="n">
        <v>22.65</v>
      </c>
      <c r="F193" s="4" t="s">
        <v>13</v>
      </c>
      <c r="G193" s="4" t="s">
        <v>1385</v>
      </c>
      <c r="H193" s="4" t="s">
        <v>1386</v>
      </c>
      <c r="I193" s="4" t="n">
        <v>44</v>
      </c>
      <c r="J193" s="4" t="n">
        <v>23</v>
      </c>
      <c r="K193" s="4"/>
    </row>
    <row r="194" customFormat="false" ht="15" hidden="false" customHeight="false" outlineLevel="0" collapsed="false">
      <c r="A194" s="4" t="s">
        <v>711</v>
      </c>
      <c r="B194" s="4" t="s">
        <v>1420</v>
      </c>
      <c r="C194" s="5" t="n">
        <v>125.99</v>
      </c>
      <c r="D194" s="4" t="s">
        <v>1389</v>
      </c>
      <c r="E194" s="5" t="n">
        <v>63.8</v>
      </c>
      <c r="F194" s="4" t="s">
        <v>13</v>
      </c>
      <c r="G194" s="4" t="s">
        <v>1385</v>
      </c>
      <c r="H194" s="4" t="s">
        <v>1386</v>
      </c>
      <c r="I194" s="4" t="n">
        <v>44</v>
      </c>
      <c r="J194" s="4" t="n">
        <v>23</v>
      </c>
      <c r="K194" s="4"/>
    </row>
    <row r="195" customFormat="false" ht="15" hidden="false" customHeight="false" outlineLevel="0" collapsed="false">
      <c r="A195" s="4" t="s">
        <v>715</v>
      </c>
      <c r="B195" s="4" t="s">
        <v>1401</v>
      </c>
      <c r="C195" s="5" t="n">
        <v>39.224</v>
      </c>
      <c r="D195" s="4" t="s">
        <v>1389</v>
      </c>
      <c r="E195" s="5" t="n">
        <v>21.43</v>
      </c>
      <c r="F195" s="4" t="s">
        <v>13</v>
      </c>
      <c r="G195" s="4" t="s">
        <v>1385</v>
      </c>
      <c r="H195" s="4" t="s">
        <v>1386</v>
      </c>
      <c r="I195" s="4" t="n">
        <v>44</v>
      </c>
      <c r="J195" s="4" t="n">
        <v>23</v>
      </c>
      <c r="K195" s="4"/>
    </row>
    <row r="196" customFormat="false" ht="15" hidden="false" customHeight="false" outlineLevel="0" collapsed="false">
      <c r="A196" s="4" t="s">
        <v>719</v>
      </c>
      <c r="B196" s="4" t="s">
        <v>1391</v>
      </c>
      <c r="C196" s="5" t="n">
        <v>460.55</v>
      </c>
      <c r="D196" s="4" t="s">
        <v>1389</v>
      </c>
      <c r="E196" s="5" t="n">
        <v>209</v>
      </c>
      <c r="F196" s="4" t="s">
        <v>13</v>
      </c>
      <c r="G196" s="4" t="s">
        <v>1385</v>
      </c>
      <c r="H196" s="4" t="s">
        <v>1386</v>
      </c>
      <c r="I196" s="4" t="n">
        <v>44</v>
      </c>
      <c r="J196" s="4" t="n">
        <v>23</v>
      </c>
      <c r="K196" s="4"/>
    </row>
    <row r="197" customFormat="false" ht="15" hidden="false" customHeight="false" outlineLevel="0" collapsed="false">
      <c r="A197" s="4" t="s">
        <v>722</v>
      </c>
      <c r="B197" s="4" t="s">
        <v>1391</v>
      </c>
      <c r="C197" s="5" t="n">
        <v>111.03</v>
      </c>
      <c r="D197" s="4" t="s">
        <v>1424</v>
      </c>
      <c r="E197" s="5" t="n">
        <v>63.79</v>
      </c>
      <c r="F197" s="4" t="s">
        <v>13</v>
      </c>
      <c r="G197" s="4" t="s">
        <v>1385</v>
      </c>
      <c r="H197" s="4" t="s">
        <v>1386</v>
      </c>
      <c r="I197" s="4" t="n">
        <v>44</v>
      </c>
      <c r="J197" s="4" t="n">
        <v>23</v>
      </c>
      <c r="K197" s="4"/>
    </row>
    <row r="198" customFormat="false" ht="15" hidden="false" customHeight="false" outlineLevel="0" collapsed="false">
      <c r="A198" s="4" t="s">
        <v>726</v>
      </c>
      <c r="B198" s="4" t="s">
        <v>1393</v>
      </c>
      <c r="C198" s="5" t="n">
        <v>52.5</v>
      </c>
      <c r="D198" s="4" t="s">
        <v>1384</v>
      </c>
      <c r="E198" s="5" t="n">
        <v>22</v>
      </c>
      <c r="F198" s="4" t="s">
        <v>13</v>
      </c>
      <c r="G198" s="4" t="s">
        <v>1385</v>
      </c>
      <c r="H198" s="4" t="s">
        <v>1386</v>
      </c>
      <c r="I198" s="4" t="n">
        <v>44</v>
      </c>
      <c r="J198" s="4" t="n">
        <v>23</v>
      </c>
      <c r="K198" s="4"/>
    </row>
    <row r="199" customFormat="false" ht="15" hidden="false" customHeight="false" outlineLevel="0" collapsed="false">
      <c r="A199" s="4" t="s">
        <v>730</v>
      </c>
      <c r="B199" s="4" t="s">
        <v>1414</v>
      </c>
      <c r="C199" s="5" t="n">
        <v>95.58</v>
      </c>
      <c r="D199" s="4" t="s">
        <v>1384</v>
      </c>
      <c r="E199" s="5" t="n">
        <v>56.91</v>
      </c>
      <c r="F199" s="4" t="s">
        <v>13</v>
      </c>
      <c r="G199" s="4" t="s">
        <v>1385</v>
      </c>
      <c r="H199" s="4" t="s">
        <v>1386</v>
      </c>
      <c r="I199" s="4" t="n">
        <v>44</v>
      </c>
      <c r="J199" s="4" t="n">
        <v>23</v>
      </c>
      <c r="K199" s="4"/>
    </row>
    <row r="200" customFormat="false" ht="15" hidden="false" customHeight="false" outlineLevel="0" collapsed="false">
      <c r="A200" s="4" t="s">
        <v>734</v>
      </c>
      <c r="B200" s="4" t="s">
        <v>1391</v>
      </c>
      <c r="C200" s="5" t="n">
        <v>114.225</v>
      </c>
      <c r="D200" s="4" t="s">
        <v>1384</v>
      </c>
      <c r="E200" s="5" t="n">
        <v>55.14</v>
      </c>
      <c r="F200" s="4" t="s">
        <v>13</v>
      </c>
      <c r="G200" s="4" t="s">
        <v>1385</v>
      </c>
      <c r="H200" s="4" t="s">
        <v>1386</v>
      </c>
      <c r="I200" s="4" t="n">
        <v>44</v>
      </c>
      <c r="J200" s="4" t="n">
        <v>23</v>
      </c>
      <c r="K200" s="4"/>
    </row>
    <row r="201" customFormat="false" ht="15" hidden="false" customHeight="false" outlineLevel="0" collapsed="false">
      <c r="A201" s="4" t="s">
        <v>737</v>
      </c>
      <c r="B201" s="4" t="s">
        <v>1402</v>
      </c>
      <c r="C201" s="5" t="n">
        <v>59.86</v>
      </c>
      <c r="D201" s="4" t="s">
        <v>1389</v>
      </c>
      <c r="E201" s="5" t="n">
        <v>33.72</v>
      </c>
      <c r="F201" s="4" t="s">
        <v>13</v>
      </c>
      <c r="G201" s="4" t="s">
        <v>1385</v>
      </c>
      <c r="H201" s="4" t="s">
        <v>1386</v>
      </c>
      <c r="I201" s="4" t="n">
        <v>44</v>
      </c>
      <c r="J201" s="4" t="n">
        <v>23</v>
      </c>
      <c r="K201" s="4"/>
    </row>
    <row r="202" customFormat="false" ht="15" hidden="false" customHeight="false" outlineLevel="0" collapsed="false">
      <c r="A202" s="4" t="s">
        <v>740</v>
      </c>
      <c r="B202" s="4" t="s">
        <v>1391</v>
      </c>
      <c r="C202" s="5" t="n">
        <v>375.76</v>
      </c>
      <c r="D202" s="4" t="s">
        <v>1389</v>
      </c>
      <c r="E202" s="5" t="n">
        <v>214.03</v>
      </c>
      <c r="F202" s="4" t="s">
        <v>13</v>
      </c>
      <c r="G202" s="4" t="s">
        <v>1385</v>
      </c>
      <c r="H202" s="4" t="s">
        <v>1386</v>
      </c>
      <c r="I202" s="4" t="n">
        <v>44</v>
      </c>
      <c r="J202" s="4" t="n">
        <v>23</v>
      </c>
      <c r="K202" s="4"/>
    </row>
    <row r="203" customFormat="false" ht="15" hidden="false" customHeight="false" outlineLevel="0" collapsed="false">
      <c r="A203" s="4" t="s">
        <v>744</v>
      </c>
      <c r="B203" s="4" t="s">
        <v>1398</v>
      </c>
      <c r="C203" s="5" t="n">
        <v>157</v>
      </c>
      <c r="D203" s="4" t="s">
        <v>1384</v>
      </c>
      <c r="E203" s="5" t="n">
        <v>66.44</v>
      </c>
      <c r="F203" s="4" t="s">
        <v>13</v>
      </c>
      <c r="G203" s="4" t="s">
        <v>1385</v>
      </c>
      <c r="H203" s="4" t="s">
        <v>1386</v>
      </c>
      <c r="I203" s="4" t="n">
        <v>44</v>
      </c>
      <c r="J203" s="4" t="n">
        <v>23</v>
      </c>
      <c r="K203" s="4"/>
    </row>
    <row r="204" customFormat="false" ht="15" hidden="false" customHeight="false" outlineLevel="0" collapsed="false">
      <c r="A204" s="4" t="s">
        <v>748</v>
      </c>
      <c r="B204" s="4" t="s">
        <v>1417</v>
      </c>
      <c r="C204" s="5" t="n">
        <v>413.13</v>
      </c>
      <c r="D204" s="4" t="s">
        <v>1389</v>
      </c>
      <c r="E204" s="5" t="n">
        <v>229.5</v>
      </c>
      <c r="F204" s="4" t="s">
        <v>13</v>
      </c>
      <c r="G204" s="4" t="s">
        <v>1385</v>
      </c>
      <c r="H204" s="4" t="s">
        <v>1386</v>
      </c>
      <c r="I204" s="4" t="n">
        <v>44</v>
      </c>
      <c r="J204" s="4" t="n">
        <v>23</v>
      </c>
      <c r="K204" s="4"/>
    </row>
    <row r="205" customFormat="false" ht="15" hidden="false" customHeight="false" outlineLevel="0" collapsed="false">
      <c r="A205" s="4" t="s">
        <v>752</v>
      </c>
      <c r="B205" s="4" t="s">
        <v>1392</v>
      </c>
      <c r="C205" s="5" t="n">
        <v>132</v>
      </c>
      <c r="D205" s="4" t="s">
        <v>1384</v>
      </c>
      <c r="E205" s="5" t="n">
        <v>72.03</v>
      </c>
      <c r="F205" s="4" t="s">
        <v>13</v>
      </c>
      <c r="G205" s="4" t="s">
        <v>1385</v>
      </c>
      <c r="H205" s="4" t="s">
        <v>1386</v>
      </c>
      <c r="I205" s="4" t="n">
        <v>44</v>
      </c>
      <c r="J205" s="4" t="n">
        <v>23</v>
      </c>
      <c r="K205" s="4"/>
    </row>
    <row r="206" customFormat="false" ht="15" hidden="false" customHeight="false" outlineLevel="0" collapsed="false">
      <c r="A206" s="4" t="s">
        <v>755</v>
      </c>
      <c r="B206" s="4" t="s">
        <v>1400</v>
      </c>
      <c r="C206" s="5" t="n">
        <v>52.76</v>
      </c>
      <c r="D206" s="4" t="s">
        <v>1424</v>
      </c>
      <c r="E206" s="5" t="n">
        <v>31.69</v>
      </c>
      <c r="F206" s="4" t="s">
        <v>13</v>
      </c>
      <c r="G206" s="4" t="s">
        <v>1385</v>
      </c>
      <c r="H206" s="4" t="s">
        <v>1386</v>
      </c>
      <c r="I206" s="4" t="n">
        <v>44</v>
      </c>
      <c r="J206" s="4" t="n">
        <v>23</v>
      </c>
      <c r="K206" s="4"/>
    </row>
    <row r="207" customFormat="false" ht="15" hidden="false" customHeight="false" outlineLevel="0" collapsed="false">
      <c r="A207" s="4" t="s">
        <v>759</v>
      </c>
      <c r="B207" s="4" t="s">
        <v>1411</v>
      </c>
      <c r="C207" s="5" t="n">
        <v>127.32</v>
      </c>
      <c r="D207" s="4" t="s">
        <v>1389</v>
      </c>
      <c r="E207" s="5" t="n">
        <v>58.2</v>
      </c>
      <c r="F207" s="4" t="s">
        <v>13</v>
      </c>
      <c r="G207" s="4" t="s">
        <v>1385</v>
      </c>
      <c r="H207" s="4" t="s">
        <v>1386</v>
      </c>
      <c r="I207" s="4" t="n">
        <v>44</v>
      </c>
      <c r="J207" s="4" t="n">
        <v>23</v>
      </c>
      <c r="K207" s="4"/>
    </row>
    <row r="208" customFormat="false" ht="15" hidden="false" customHeight="false" outlineLevel="0" collapsed="false">
      <c r="A208" s="4" t="s">
        <v>763</v>
      </c>
      <c r="B208" s="4" t="s">
        <v>1391</v>
      </c>
      <c r="C208" s="5" t="n">
        <v>736.36</v>
      </c>
      <c r="D208" s="4" t="s">
        <v>1389</v>
      </c>
      <c r="E208" s="5" t="n">
        <v>387.62</v>
      </c>
      <c r="F208" s="4" t="s">
        <v>13</v>
      </c>
      <c r="G208" s="4" t="s">
        <v>1385</v>
      </c>
      <c r="H208" s="4" t="s">
        <v>1386</v>
      </c>
      <c r="I208" s="4" t="n">
        <v>44</v>
      </c>
      <c r="J208" s="4" t="n">
        <v>23</v>
      </c>
      <c r="K208" s="4"/>
    </row>
    <row r="209" customFormat="false" ht="15" hidden="false" customHeight="false" outlineLevel="0" collapsed="false">
      <c r="A209" s="4" t="s">
        <v>766</v>
      </c>
      <c r="B209" s="4" t="s">
        <v>1401</v>
      </c>
      <c r="C209" s="5" t="n">
        <v>51</v>
      </c>
      <c r="D209" s="4" t="s">
        <v>1384</v>
      </c>
      <c r="E209" s="5" t="n">
        <v>30.5</v>
      </c>
      <c r="F209" s="4" t="s">
        <v>13</v>
      </c>
      <c r="G209" s="4" t="s">
        <v>1385</v>
      </c>
      <c r="H209" s="4" t="s">
        <v>1386</v>
      </c>
      <c r="I209" s="4" t="n">
        <v>44</v>
      </c>
      <c r="J209" s="4" t="n">
        <v>23</v>
      </c>
      <c r="K209" s="4"/>
    </row>
    <row r="210" customFormat="false" ht="15" hidden="false" customHeight="false" outlineLevel="0" collapsed="false">
      <c r="A210" s="4" t="s">
        <v>769</v>
      </c>
      <c r="B210" s="4" t="s">
        <v>1392</v>
      </c>
      <c r="C210" s="5" t="n">
        <v>104</v>
      </c>
      <c r="D210" s="4" t="s">
        <v>1389</v>
      </c>
      <c r="E210" s="5" t="n">
        <v>49.47</v>
      </c>
      <c r="F210" s="4" t="s">
        <v>13</v>
      </c>
      <c r="G210" s="4" t="s">
        <v>1385</v>
      </c>
      <c r="H210" s="4" t="s">
        <v>1386</v>
      </c>
      <c r="I210" s="4" t="n">
        <v>44</v>
      </c>
      <c r="J210" s="4" t="n">
        <v>23</v>
      </c>
      <c r="K210" s="4"/>
    </row>
    <row r="211" customFormat="false" ht="15" hidden="false" customHeight="false" outlineLevel="0" collapsed="false">
      <c r="A211" s="4" t="s">
        <v>772</v>
      </c>
      <c r="B211" s="4" t="s">
        <v>1396</v>
      </c>
      <c r="C211" s="5" t="n">
        <v>56.87</v>
      </c>
      <c r="D211" s="4" t="s">
        <v>1389</v>
      </c>
      <c r="E211" s="5" t="n">
        <v>29.26</v>
      </c>
      <c r="F211" s="4" t="s">
        <v>13</v>
      </c>
      <c r="G211" s="4" t="s">
        <v>1385</v>
      </c>
      <c r="H211" s="4" t="s">
        <v>1386</v>
      </c>
      <c r="I211" s="4" t="n">
        <v>44</v>
      </c>
      <c r="J211" s="4" t="n">
        <v>23</v>
      </c>
      <c r="K211" s="4"/>
    </row>
    <row r="212" customFormat="false" ht="15" hidden="false" customHeight="false" outlineLevel="0" collapsed="false">
      <c r="A212" s="4" t="s">
        <v>775</v>
      </c>
      <c r="B212" s="4" t="s">
        <v>1398</v>
      </c>
      <c r="C212" s="5" t="n">
        <v>187.66</v>
      </c>
      <c r="D212" s="4" t="s">
        <v>1389</v>
      </c>
      <c r="E212" s="5" t="n">
        <v>90.23</v>
      </c>
      <c r="F212" s="4" t="s">
        <v>13</v>
      </c>
      <c r="G212" s="4" t="s">
        <v>1385</v>
      </c>
      <c r="H212" s="4" t="s">
        <v>1386</v>
      </c>
      <c r="I212" s="4" t="n">
        <v>44</v>
      </c>
      <c r="J212" s="4" t="n">
        <v>23</v>
      </c>
      <c r="K212" s="4"/>
    </row>
    <row r="213" customFormat="false" ht="15" hidden="false" customHeight="false" outlineLevel="0" collapsed="false">
      <c r="A213" s="4" t="s">
        <v>779</v>
      </c>
      <c r="B213" s="4" t="s">
        <v>1391</v>
      </c>
      <c r="C213" s="5" t="n">
        <v>128.77</v>
      </c>
      <c r="D213" s="4" t="s">
        <v>1389</v>
      </c>
      <c r="E213" s="5" t="n">
        <v>61.65</v>
      </c>
      <c r="F213" s="4" t="s">
        <v>13</v>
      </c>
      <c r="G213" s="4" t="s">
        <v>1385</v>
      </c>
      <c r="H213" s="4" t="s">
        <v>1386</v>
      </c>
      <c r="I213" s="4" t="n">
        <v>44</v>
      </c>
      <c r="J213" s="4" t="n">
        <v>23</v>
      </c>
      <c r="K213" s="4"/>
    </row>
    <row r="214" customFormat="false" ht="15" hidden="false" customHeight="false" outlineLevel="0" collapsed="false">
      <c r="A214" s="4" t="s">
        <v>783</v>
      </c>
      <c r="B214" s="4" t="s">
        <v>1391</v>
      </c>
      <c r="C214" s="5" t="n">
        <v>749.88</v>
      </c>
      <c r="D214" s="4" t="s">
        <v>1422</v>
      </c>
      <c r="E214" s="5" t="n">
        <v>308</v>
      </c>
      <c r="F214" s="4" t="s">
        <v>13</v>
      </c>
      <c r="G214" s="4" t="s">
        <v>1385</v>
      </c>
      <c r="H214" s="4" t="s">
        <v>1386</v>
      </c>
      <c r="I214" s="4" t="n">
        <v>44</v>
      </c>
      <c r="J214" s="4" t="n">
        <v>23</v>
      </c>
      <c r="K214" s="4"/>
    </row>
    <row r="215" customFormat="false" ht="15" hidden="false" customHeight="false" outlineLevel="0" collapsed="false">
      <c r="A215" s="4" t="s">
        <v>786</v>
      </c>
      <c r="B215" s="4" t="s">
        <v>1391</v>
      </c>
      <c r="C215" s="5" t="n">
        <v>246.44</v>
      </c>
      <c r="D215" s="4" t="s">
        <v>1384</v>
      </c>
      <c r="E215" s="5" t="n">
        <v>117.45</v>
      </c>
      <c r="F215" s="4" t="s">
        <v>13</v>
      </c>
      <c r="G215" s="4" t="s">
        <v>1385</v>
      </c>
      <c r="H215" s="4" t="s">
        <v>1386</v>
      </c>
      <c r="I215" s="4" t="n">
        <v>44</v>
      </c>
      <c r="J215" s="4" t="n">
        <v>23</v>
      </c>
      <c r="K215" s="4"/>
    </row>
    <row r="216" customFormat="false" ht="15" hidden="false" customHeight="false" outlineLevel="0" collapsed="false">
      <c r="A216" s="4" t="s">
        <v>790</v>
      </c>
      <c r="B216" s="4" t="s">
        <v>1393</v>
      </c>
      <c r="C216" s="5" t="n">
        <v>129.99</v>
      </c>
      <c r="D216" s="4" t="s">
        <v>1422</v>
      </c>
      <c r="E216" s="5" t="n">
        <v>75.43</v>
      </c>
      <c r="F216" s="4" t="s">
        <v>13</v>
      </c>
      <c r="G216" s="4" t="s">
        <v>1385</v>
      </c>
      <c r="H216" s="4" t="s">
        <v>1386</v>
      </c>
      <c r="I216" s="4" t="n">
        <v>44</v>
      </c>
      <c r="J216" s="4" t="n">
        <v>23</v>
      </c>
      <c r="K216" s="4"/>
    </row>
    <row r="217" customFormat="false" ht="15" hidden="false" customHeight="false" outlineLevel="0" collapsed="false">
      <c r="A217" s="4" t="s">
        <v>793</v>
      </c>
      <c r="B217" s="4" t="s">
        <v>1398</v>
      </c>
      <c r="C217" s="5" t="n">
        <v>285</v>
      </c>
      <c r="D217" s="4" t="s">
        <v>1389</v>
      </c>
      <c r="E217" s="5" t="n">
        <v>145.12</v>
      </c>
      <c r="F217" s="4" t="s">
        <v>13</v>
      </c>
      <c r="G217" s="4" t="s">
        <v>1385</v>
      </c>
      <c r="H217" s="4" t="s">
        <v>1386</v>
      </c>
      <c r="I217" s="4" t="n">
        <v>44</v>
      </c>
      <c r="J217" s="4" t="n">
        <v>23</v>
      </c>
      <c r="K217" s="4"/>
    </row>
    <row r="218" customFormat="false" ht="15" hidden="false" customHeight="false" outlineLevel="0" collapsed="false">
      <c r="A218" s="4" t="s">
        <v>797</v>
      </c>
      <c r="B218" s="4" t="s">
        <v>1425</v>
      </c>
      <c r="C218" s="5" t="n">
        <v>167.76</v>
      </c>
      <c r="D218" s="4" t="s">
        <v>1384</v>
      </c>
      <c r="E218" s="5" t="n">
        <v>87.01</v>
      </c>
      <c r="F218" s="4" t="s">
        <v>13</v>
      </c>
      <c r="G218" s="4" t="s">
        <v>1385</v>
      </c>
      <c r="H218" s="4" t="s">
        <v>1386</v>
      </c>
      <c r="I218" s="4" t="n">
        <v>44</v>
      </c>
      <c r="J218" s="4" t="n">
        <v>23</v>
      </c>
      <c r="K218" s="4"/>
    </row>
    <row r="219" customFormat="false" ht="15" hidden="false" customHeight="false" outlineLevel="0" collapsed="false">
      <c r="A219" s="4" t="s">
        <v>800</v>
      </c>
      <c r="B219" s="4" t="s">
        <v>1400</v>
      </c>
      <c r="C219" s="5" t="n">
        <v>77.752</v>
      </c>
      <c r="D219" s="4" t="s">
        <v>1389</v>
      </c>
      <c r="E219" s="5" t="n">
        <v>38.1</v>
      </c>
      <c r="F219" s="4" t="s">
        <v>13</v>
      </c>
      <c r="G219" s="4" t="s">
        <v>1385</v>
      </c>
      <c r="H219" s="4" t="s">
        <v>1386</v>
      </c>
      <c r="I219" s="4" t="n">
        <v>44</v>
      </c>
      <c r="J219" s="4" t="n">
        <v>23</v>
      </c>
      <c r="K219" s="4"/>
    </row>
    <row r="220" customFormat="false" ht="15" hidden="false" customHeight="false" outlineLevel="0" collapsed="false">
      <c r="A220" s="4" t="s">
        <v>803</v>
      </c>
      <c r="B220" s="4" t="s">
        <v>1393</v>
      </c>
      <c r="C220" s="5" t="n">
        <v>27.908</v>
      </c>
      <c r="D220" s="4" t="s">
        <v>1384</v>
      </c>
      <c r="E220" s="5" t="n">
        <v>15.24</v>
      </c>
      <c r="F220" s="4" t="s">
        <v>13</v>
      </c>
      <c r="G220" s="4" t="s">
        <v>1385</v>
      </c>
      <c r="H220" s="4" t="s">
        <v>1386</v>
      </c>
      <c r="I220" s="4" t="n">
        <v>44</v>
      </c>
      <c r="J220" s="4" t="n">
        <v>23</v>
      </c>
      <c r="K220" s="4"/>
    </row>
    <row r="221" customFormat="false" ht="15" hidden="false" customHeight="false" outlineLevel="0" collapsed="false">
      <c r="A221" s="4" t="s">
        <v>807</v>
      </c>
      <c r="B221" s="4" t="s">
        <v>1391</v>
      </c>
      <c r="C221" s="5" t="n">
        <v>92.756</v>
      </c>
      <c r="D221" s="4" t="s">
        <v>1389</v>
      </c>
      <c r="E221" s="5" t="n">
        <v>57.34</v>
      </c>
      <c r="F221" s="4" t="s">
        <v>13</v>
      </c>
      <c r="G221" s="4" t="s">
        <v>1385</v>
      </c>
      <c r="H221" s="4" t="s">
        <v>1386</v>
      </c>
      <c r="I221" s="4" t="n">
        <v>44</v>
      </c>
      <c r="J221" s="4" t="n">
        <v>23</v>
      </c>
      <c r="K221" s="4"/>
    </row>
    <row r="222" customFormat="false" ht="15" hidden="false" customHeight="false" outlineLevel="0" collapsed="false">
      <c r="A222" s="4" t="s">
        <v>811</v>
      </c>
      <c r="B222" s="4" t="s">
        <v>1391</v>
      </c>
      <c r="C222" s="5" t="n">
        <v>136.98</v>
      </c>
      <c r="D222" s="4" t="s">
        <v>1384</v>
      </c>
      <c r="E222" s="5" t="n">
        <v>77.05</v>
      </c>
      <c r="F222" s="4" t="s">
        <v>13</v>
      </c>
      <c r="G222" s="4" t="s">
        <v>1385</v>
      </c>
      <c r="H222" s="4" t="s">
        <v>1386</v>
      </c>
      <c r="I222" s="4" t="n">
        <v>44</v>
      </c>
      <c r="J222" s="4" t="n">
        <v>23</v>
      </c>
      <c r="K222" s="4"/>
    </row>
    <row r="223" customFormat="false" ht="15" hidden="false" customHeight="false" outlineLevel="0" collapsed="false">
      <c r="A223" s="4" t="s">
        <v>814</v>
      </c>
      <c r="B223" s="4" t="s">
        <v>1399</v>
      </c>
      <c r="C223" s="5" t="n">
        <v>9.48</v>
      </c>
      <c r="D223" s="4" t="s">
        <v>1384</v>
      </c>
      <c r="E223" s="5" t="n">
        <v>6.13</v>
      </c>
      <c r="F223" s="4" t="s">
        <v>13</v>
      </c>
      <c r="G223" s="4" t="s">
        <v>1385</v>
      </c>
      <c r="H223" s="4" t="s">
        <v>1386</v>
      </c>
      <c r="I223" s="4" t="n">
        <v>44</v>
      </c>
      <c r="J223" s="4" t="n">
        <v>23</v>
      </c>
      <c r="K223" s="4"/>
    </row>
    <row r="224" customFormat="false" ht="15" hidden="false" customHeight="false" outlineLevel="0" collapsed="false">
      <c r="A224" s="4" t="s">
        <v>818</v>
      </c>
      <c r="B224" s="4" t="s">
        <v>1391</v>
      </c>
      <c r="C224" s="5" t="n">
        <v>40.79</v>
      </c>
      <c r="D224" s="4" t="s">
        <v>1384</v>
      </c>
      <c r="E224" s="5" t="n">
        <v>23.4</v>
      </c>
      <c r="F224" s="4" t="s">
        <v>13</v>
      </c>
      <c r="G224" s="4" t="s">
        <v>1385</v>
      </c>
      <c r="H224" s="4" t="s">
        <v>1386</v>
      </c>
      <c r="I224" s="4" t="n">
        <v>44</v>
      </c>
      <c r="J224" s="4" t="n">
        <v>23</v>
      </c>
      <c r="K224" s="4"/>
    </row>
    <row r="225" customFormat="false" ht="15" hidden="false" customHeight="false" outlineLevel="0" collapsed="false">
      <c r="A225" s="4" t="s">
        <v>821</v>
      </c>
      <c r="B225" s="4" t="s">
        <v>1391</v>
      </c>
      <c r="C225" s="5" t="n">
        <v>159.69</v>
      </c>
      <c r="D225" s="4" t="s">
        <v>1384</v>
      </c>
      <c r="E225" s="5" t="n">
        <v>76.88</v>
      </c>
      <c r="F225" s="4" t="s">
        <v>13</v>
      </c>
      <c r="G225" s="4" t="s">
        <v>1385</v>
      </c>
      <c r="H225" s="4" t="s">
        <v>1386</v>
      </c>
      <c r="I225" s="4" t="n">
        <v>44</v>
      </c>
      <c r="J225" s="4" t="n">
        <v>23</v>
      </c>
      <c r="K225" s="4"/>
    </row>
    <row r="226" customFormat="false" ht="15" hidden="false" customHeight="false" outlineLevel="0" collapsed="false">
      <c r="A226" s="4" t="s">
        <v>825</v>
      </c>
      <c r="B226" s="4" t="s">
        <v>1399</v>
      </c>
      <c r="C226" s="5" t="n">
        <v>18.15</v>
      </c>
      <c r="D226" s="4" t="s">
        <v>1389</v>
      </c>
      <c r="E226" s="5" t="n">
        <v>11.05</v>
      </c>
      <c r="F226" s="4" t="s">
        <v>13</v>
      </c>
      <c r="G226" s="4" t="s">
        <v>1385</v>
      </c>
      <c r="H226" s="4" t="s">
        <v>1386</v>
      </c>
      <c r="I226" s="4" t="n">
        <v>44</v>
      </c>
      <c r="J226" s="4" t="n">
        <v>23</v>
      </c>
      <c r="K226" s="4"/>
    </row>
    <row r="227" customFormat="false" ht="15" hidden="false" customHeight="false" outlineLevel="0" collapsed="false">
      <c r="A227" s="4" t="s">
        <v>828</v>
      </c>
      <c r="B227" s="4" t="s">
        <v>1395</v>
      </c>
      <c r="C227" s="5" t="n">
        <v>66.28</v>
      </c>
      <c r="D227" s="4" t="s">
        <v>1384</v>
      </c>
      <c r="E227" s="5" t="n">
        <v>30.3</v>
      </c>
      <c r="F227" s="4" t="s">
        <v>13</v>
      </c>
      <c r="G227" s="4" t="s">
        <v>1385</v>
      </c>
      <c r="H227" s="4" t="s">
        <v>1386</v>
      </c>
      <c r="I227" s="4" t="n">
        <v>44</v>
      </c>
      <c r="J227" s="4" t="n">
        <v>23</v>
      </c>
      <c r="K227" s="4"/>
    </row>
    <row r="228" customFormat="false" ht="15" hidden="false" customHeight="false" outlineLevel="0" collapsed="false">
      <c r="A228" s="4" t="s">
        <v>832</v>
      </c>
      <c r="B228" s="4" t="s">
        <v>1388</v>
      </c>
      <c r="C228" s="5" t="n">
        <v>43.862</v>
      </c>
      <c r="D228" s="4" t="s">
        <v>1384</v>
      </c>
      <c r="E228" s="5" t="n">
        <v>20.81</v>
      </c>
      <c r="F228" s="4" t="s">
        <v>13</v>
      </c>
      <c r="G228" s="4" t="s">
        <v>1385</v>
      </c>
      <c r="H228" s="4" t="s">
        <v>1386</v>
      </c>
      <c r="I228" s="4" t="n">
        <v>44</v>
      </c>
      <c r="J228" s="4" t="n">
        <v>23</v>
      </c>
      <c r="K228" s="4"/>
    </row>
    <row r="229" customFormat="false" ht="15" hidden="false" customHeight="false" outlineLevel="0" collapsed="false">
      <c r="A229" s="4" t="s">
        <v>836</v>
      </c>
      <c r="B229" s="4" t="s">
        <v>1387</v>
      </c>
      <c r="C229" s="5" t="n">
        <v>25.89</v>
      </c>
      <c r="D229" s="4" t="s">
        <v>1424</v>
      </c>
      <c r="E229" s="5" t="n">
        <v>13.43</v>
      </c>
      <c r="F229" s="4" t="s">
        <v>13</v>
      </c>
      <c r="G229" s="4" t="s">
        <v>1385</v>
      </c>
      <c r="H229" s="4" t="s">
        <v>1386</v>
      </c>
      <c r="I229" s="4" t="n">
        <v>44</v>
      </c>
      <c r="J229" s="4" t="n">
        <v>23</v>
      </c>
      <c r="K229" s="4"/>
    </row>
    <row r="230" customFormat="false" ht="15" hidden="false" customHeight="false" outlineLevel="0" collapsed="false">
      <c r="A230" s="4" t="s">
        <v>839</v>
      </c>
      <c r="B230" s="4" t="s">
        <v>1391</v>
      </c>
      <c r="C230" s="5" t="n">
        <v>38.21</v>
      </c>
      <c r="D230" s="4" t="s">
        <v>1384</v>
      </c>
      <c r="E230" s="5" t="n">
        <v>19.46</v>
      </c>
      <c r="F230" s="4" t="s">
        <v>13</v>
      </c>
      <c r="G230" s="4" t="s">
        <v>1385</v>
      </c>
      <c r="H230" s="4" t="s">
        <v>1386</v>
      </c>
      <c r="I230" s="4" t="n">
        <v>44</v>
      </c>
      <c r="J230" s="4" t="n">
        <v>23</v>
      </c>
      <c r="K230" s="4"/>
    </row>
    <row r="231" customFormat="false" ht="15" hidden="false" customHeight="false" outlineLevel="0" collapsed="false">
      <c r="A231" s="4" t="s">
        <v>843</v>
      </c>
      <c r="B231" s="4" t="s">
        <v>1388</v>
      </c>
      <c r="C231" s="5" t="n">
        <v>17.96</v>
      </c>
      <c r="D231" s="4" t="s">
        <v>1426</v>
      </c>
      <c r="E231" s="5" t="n">
        <v>11.77</v>
      </c>
      <c r="F231" s="4" t="s">
        <v>13</v>
      </c>
      <c r="G231" s="4" t="s">
        <v>1385</v>
      </c>
      <c r="H231" s="4" t="s">
        <v>1386</v>
      </c>
      <c r="I231" s="4" t="n">
        <v>44</v>
      </c>
      <c r="J231" s="4" t="n">
        <v>23</v>
      </c>
      <c r="K231" s="4"/>
    </row>
    <row r="232" customFormat="false" ht="15" hidden="false" customHeight="false" outlineLevel="0" collapsed="false">
      <c r="A232" s="4" t="s">
        <v>847</v>
      </c>
      <c r="B232" s="4" t="s">
        <v>1388</v>
      </c>
      <c r="C232" s="5" t="n">
        <v>37.59</v>
      </c>
      <c r="D232" s="4" t="s">
        <v>1384</v>
      </c>
      <c r="E232" s="5" t="n">
        <v>21.83</v>
      </c>
      <c r="F232" s="4" t="s">
        <v>13</v>
      </c>
      <c r="G232" s="4" t="s">
        <v>1385</v>
      </c>
      <c r="H232" s="4" t="s">
        <v>1386</v>
      </c>
      <c r="I232" s="4" t="n">
        <v>44</v>
      </c>
      <c r="J232" s="4" t="n">
        <v>23</v>
      </c>
      <c r="K232" s="4"/>
    </row>
    <row r="233" customFormat="false" ht="15" hidden="false" customHeight="false" outlineLevel="0" collapsed="false">
      <c r="A233" s="4" t="s">
        <v>850</v>
      </c>
      <c r="B233" s="4" t="s">
        <v>1387</v>
      </c>
      <c r="C233" s="5" t="n">
        <v>58</v>
      </c>
      <c r="D233" s="4" t="s">
        <v>1384</v>
      </c>
      <c r="E233" s="5" t="n">
        <v>36.78</v>
      </c>
      <c r="F233" s="4" t="s">
        <v>13</v>
      </c>
      <c r="G233" s="4" t="s">
        <v>1385</v>
      </c>
      <c r="H233" s="4" t="s">
        <v>1386</v>
      </c>
      <c r="I233" s="4" t="n">
        <v>44</v>
      </c>
      <c r="J233" s="4" t="n">
        <v>23</v>
      </c>
      <c r="K233" s="4"/>
    </row>
    <row r="234" customFormat="false" ht="15" hidden="false" customHeight="false" outlineLevel="0" collapsed="false">
      <c r="A234" s="4" t="s">
        <v>854</v>
      </c>
      <c r="B234" s="4" t="s">
        <v>1391</v>
      </c>
      <c r="C234" s="5" t="n">
        <v>967.238</v>
      </c>
      <c r="D234" s="4" t="s">
        <v>1389</v>
      </c>
      <c r="E234" s="5" t="n">
        <v>643.5</v>
      </c>
      <c r="F234" s="4" t="s">
        <v>13</v>
      </c>
      <c r="G234" s="4" t="s">
        <v>1385</v>
      </c>
      <c r="H234" s="4" t="s">
        <v>1386</v>
      </c>
      <c r="I234" s="4" t="n">
        <v>44</v>
      </c>
      <c r="J234" s="4" t="n">
        <v>23</v>
      </c>
      <c r="K234" s="4"/>
    </row>
    <row r="235" customFormat="false" ht="15" hidden="false" customHeight="false" outlineLevel="0" collapsed="false">
      <c r="A235" s="4" t="s">
        <v>857</v>
      </c>
      <c r="B235" s="4" t="s">
        <v>1398</v>
      </c>
      <c r="C235" s="5" t="n">
        <v>45.63</v>
      </c>
      <c r="D235" s="4" t="s">
        <v>1389</v>
      </c>
      <c r="E235" s="5" t="n">
        <v>23.54</v>
      </c>
      <c r="F235" s="4" t="s">
        <v>13</v>
      </c>
      <c r="G235" s="4" t="s">
        <v>1385</v>
      </c>
      <c r="H235" s="4" t="s">
        <v>1386</v>
      </c>
      <c r="I235" s="4" t="n">
        <v>44</v>
      </c>
      <c r="J235" s="4" t="n">
        <v>23</v>
      </c>
      <c r="K235" s="4"/>
    </row>
    <row r="236" customFormat="false" ht="15" hidden="false" customHeight="false" outlineLevel="0" collapsed="false">
      <c r="A236" s="4" t="s">
        <v>861</v>
      </c>
      <c r="B236" s="4" t="s">
        <v>1414</v>
      </c>
      <c r="C236" s="5" t="n">
        <v>59.5</v>
      </c>
      <c r="D236" s="4" t="s">
        <v>1412</v>
      </c>
      <c r="E236" s="5" t="n">
        <v>45.28</v>
      </c>
      <c r="F236" s="4" t="s">
        <v>13</v>
      </c>
      <c r="G236" s="4" t="s">
        <v>1385</v>
      </c>
      <c r="H236" s="4" t="s">
        <v>1386</v>
      </c>
      <c r="I236" s="4" t="n">
        <v>44</v>
      </c>
      <c r="J236" s="4" t="n">
        <v>23</v>
      </c>
      <c r="K236" s="4"/>
    </row>
    <row r="237" customFormat="false" ht="15" hidden="false" customHeight="false" outlineLevel="0" collapsed="false">
      <c r="A237" s="4" t="s">
        <v>865</v>
      </c>
      <c r="B237" s="4" t="s">
        <v>1387</v>
      </c>
      <c r="C237" s="5" t="n">
        <v>42.18</v>
      </c>
      <c r="D237" s="4" t="s">
        <v>1389</v>
      </c>
      <c r="E237" s="5" t="n">
        <v>24.03</v>
      </c>
      <c r="F237" s="4" t="s">
        <v>13</v>
      </c>
      <c r="G237" s="4" t="s">
        <v>1385</v>
      </c>
      <c r="H237" s="4" t="s">
        <v>1386</v>
      </c>
      <c r="I237" s="4" t="n">
        <v>44</v>
      </c>
      <c r="J237" s="4" t="n">
        <v>23</v>
      </c>
      <c r="K237" s="4"/>
    </row>
    <row r="238" customFormat="false" ht="15" hidden="false" customHeight="false" outlineLevel="0" collapsed="false">
      <c r="A238" s="4" t="s">
        <v>869</v>
      </c>
      <c r="B238" s="4" t="s">
        <v>1427</v>
      </c>
      <c r="C238" s="5" t="n">
        <v>233.88</v>
      </c>
      <c r="D238" s="4" t="s">
        <v>1423</v>
      </c>
      <c r="E238" s="5" t="n">
        <v>171.3</v>
      </c>
      <c r="F238" s="4" t="s">
        <v>13</v>
      </c>
      <c r="G238" s="4" t="s">
        <v>1385</v>
      </c>
      <c r="H238" s="4" t="s">
        <v>1386</v>
      </c>
      <c r="I238" s="4" t="n">
        <v>44</v>
      </c>
      <c r="J238" s="4" t="n">
        <v>23</v>
      </c>
      <c r="K238" s="4"/>
    </row>
    <row r="239" customFormat="false" ht="15" hidden="false" customHeight="false" outlineLevel="0" collapsed="false">
      <c r="A239" s="4" t="s">
        <v>872</v>
      </c>
      <c r="B239" s="4" t="s">
        <v>1402</v>
      </c>
      <c r="C239" s="5" t="n">
        <v>228.16</v>
      </c>
      <c r="D239" s="4" t="s">
        <v>1389</v>
      </c>
      <c r="E239" s="5" t="n">
        <v>119.58</v>
      </c>
      <c r="F239" s="4" t="s">
        <v>13</v>
      </c>
      <c r="G239" s="4" t="s">
        <v>1385</v>
      </c>
      <c r="H239" s="4" t="s">
        <v>1386</v>
      </c>
      <c r="I239" s="4" t="n">
        <v>44</v>
      </c>
      <c r="J239" s="4" t="n">
        <v>23</v>
      </c>
      <c r="K239" s="4"/>
    </row>
    <row r="240" customFormat="false" ht="15" hidden="false" customHeight="false" outlineLevel="0" collapsed="false">
      <c r="A240" s="4" t="s">
        <v>876</v>
      </c>
      <c r="B240" s="4" t="s">
        <v>1421</v>
      </c>
      <c r="C240" s="5" t="n">
        <v>133.07</v>
      </c>
      <c r="D240" s="4" t="s">
        <v>1389</v>
      </c>
      <c r="E240" s="5" t="n">
        <v>89.02</v>
      </c>
      <c r="F240" s="4" t="s">
        <v>13</v>
      </c>
      <c r="G240" s="4" t="s">
        <v>1385</v>
      </c>
      <c r="H240" s="4" t="s">
        <v>1386</v>
      </c>
      <c r="I240" s="4" t="n">
        <v>44</v>
      </c>
      <c r="J240" s="4" t="n">
        <v>23</v>
      </c>
      <c r="K240" s="4"/>
    </row>
    <row r="241" customFormat="false" ht="15" hidden="false" customHeight="false" outlineLevel="0" collapsed="false">
      <c r="A241" s="4" t="s">
        <v>879</v>
      </c>
      <c r="B241" s="4" t="s">
        <v>1402</v>
      </c>
      <c r="C241" s="5" t="n">
        <v>395</v>
      </c>
      <c r="D241" s="4" t="s">
        <v>1389</v>
      </c>
      <c r="E241" s="5" t="n">
        <v>243.95</v>
      </c>
      <c r="F241" s="4" t="s">
        <v>13</v>
      </c>
      <c r="G241" s="4" t="s">
        <v>1385</v>
      </c>
      <c r="H241" s="4" t="s">
        <v>1386</v>
      </c>
      <c r="I241" s="4" t="n">
        <v>44</v>
      </c>
      <c r="J241" s="4" t="n">
        <v>23</v>
      </c>
      <c r="K241" s="4"/>
    </row>
    <row r="242" customFormat="false" ht="15" hidden="false" customHeight="false" outlineLevel="0" collapsed="false">
      <c r="A242" s="4" t="s">
        <v>883</v>
      </c>
      <c r="B242" s="4" t="s">
        <v>1391</v>
      </c>
      <c r="C242" s="5" t="n">
        <v>162.42</v>
      </c>
      <c r="D242" s="4" t="s">
        <v>1389</v>
      </c>
      <c r="E242" s="5" t="n">
        <v>72</v>
      </c>
      <c r="F242" s="4" t="s">
        <v>13</v>
      </c>
      <c r="G242" s="4" t="s">
        <v>1385</v>
      </c>
      <c r="H242" s="4" t="s">
        <v>1386</v>
      </c>
      <c r="I242" s="4" t="n">
        <v>44</v>
      </c>
      <c r="J242" s="4" t="n">
        <v>23</v>
      </c>
      <c r="K242" s="4"/>
    </row>
    <row r="243" customFormat="false" ht="15" hidden="false" customHeight="false" outlineLevel="0" collapsed="false">
      <c r="A243" s="4" t="s">
        <v>887</v>
      </c>
      <c r="B243" s="4" t="s">
        <v>1427</v>
      </c>
      <c r="C243" s="5" t="n">
        <v>45.8</v>
      </c>
      <c r="D243" s="4" t="s">
        <v>1387</v>
      </c>
      <c r="E243" s="5" t="n">
        <v>28.7</v>
      </c>
      <c r="F243" s="4" t="s">
        <v>13</v>
      </c>
      <c r="G243" s="4" t="s">
        <v>1385</v>
      </c>
      <c r="H243" s="4" t="s">
        <v>1386</v>
      </c>
      <c r="I243" s="4" t="n">
        <v>44</v>
      </c>
      <c r="J243" s="4" t="n">
        <v>23</v>
      </c>
      <c r="K243" s="4"/>
    </row>
    <row r="244" customFormat="false" ht="15" hidden="false" customHeight="false" outlineLevel="0" collapsed="false">
      <c r="A244" s="4" t="s">
        <v>890</v>
      </c>
      <c r="B244" s="4" t="s">
        <v>1396</v>
      </c>
      <c r="C244" s="5" t="n">
        <v>44.87</v>
      </c>
      <c r="D244" s="4" t="s">
        <v>1422</v>
      </c>
      <c r="E244" s="5" t="n">
        <v>27.43</v>
      </c>
      <c r="F244" s="4" t="s">
        <v>13</v>
      </c>
      <c r="G244" s="4" t="s">
        <v>1385</v>
      </c>
      <c r="H244" s="4" t="s">
        <v>1386</v>
      </c>
      <c r="I244" s="4" t="n">
        <v>44</v>
      </c>
      <c r="J244" s="4" t="n">
        <v>23</v>
      </c>
      <c r="K244" s="4"/>
    </row>
    <row r="245" customFormat="false" ht="15" hidden="false" customHeight="false" outlineLevel="0" collapsed="false">
      <c r="A245" s="4" t="s">
        <v>894</v>
      </c>
      <c r="B245" s="4" t="s">
        <v>1391</v>
      </c>
      <c r="C245" s="5" t="n">
        <v>325.738</v>
      </c>
      <c r="D245" s="4" t="s">
        <v>1389</v>
      </c>
      <c r="E245" s="5" t="n">
        <v>134.28</v>
      </c>
      <c r="F245" s="4" t="s">
        <v>13</v>
      </c>
      <c r="G245" s="4" t="s">
        <v>1385</v>
      </c>
      <c r="H245" s="4" t="s">
        <v>1386</v>
      </c>
      <c r="I245" s="4" t="n">
        <v>44</v>
      </c>
      <c r="J245" s="4" t="n">
        <v>23</v>
      </c>
      <c r="K245" s="4"/>
    </row>
    <row r="246" customFormat="false" ht="15" hidden="false" customHeight="false" outlineLevel="0" collapsed="false">
      <c r="A246" s="4" t="s">
        <v>898</v>
      </c>
      <c r="B246" s="4" t="s">
        <v>1428</v>
      </c>
      <c r="C246" s="5" t="n">
        <v>46.77</v>
      </c>
      <c r="D246" s="4" t="s">
        <v>1426</v>
      </c>
      <c r="E246" s="5" t="n">
        <v>33.91</v>
      </c>
      <c r="F246" s="4" t="s">
        <v>13</v>
      </c>
      <c r="G246" s="4" t="s">
        <v>1385</v>
      </c>
      <c r="H246" s="4" t="s">
        <v>1386</v>
      </c>
      <c r="I246" s="4" t="n">
        <v>44</v>
      </c>
      <c r="J246" s="4" t="n">
        <v>23</v>
      </c>
      <c r="K246" s="4"/>
    </row>
    <row r="247" customFormat="false" ht="15" hidden="false" customHeight="false" outlineLevel="0" collapsed="false">
      <c r="A247" s="4" t="s">
        <v>902</v>
      </c>
      <c r="B247" s="4" t="s">
        <v>1388</v>
      </c>
      <c r="C247" s="5" t="n">
        <v>41.736</v>
      </c>
      <c r="D247" s="4" t="s">
        <v>1426</v>
      </c>
      <c r="E247" s="5" t="n">
        <v>26.17</v>
      </c>
      <c r="F247" s="4" t="s">
        <v>13</v>
      </c>
      <c r="G247" s="4" t="s">
        <v>1385</v>
      </c>
      <c r="H247" s="4" t="s">
        <v>1386</v>
      </c>
      <c r="I247" s="4" t="n">
        <v>44</v>
      </c>
      <c r="J247" s="4" t="n">
        <v>23</v>
      </c>
      <c r="K247" s="4"/>
    </row>
    <row r="248" customFormat="false" ht="15" hidden="false" customHeight="false" outlineLevel="0" collapsed="false">
      <c r="A248" s="4" t="s">
        <v>906</v>
      </c>
      <c r="B248" s="4" t="s">
        <v>1407</v>
      </c>
      <c r="C248" s="5" t="n">
        <v>68.665</v>
      </c>
      <c r="D248" s="4" t="s">
        <v>1384</v>
      </c>
      <c r="E248" s="5" t="n">
        <v>40.721</v>
      </c>
      <c r="F248" s="4" t="s">
        <v>13</v>
      </c>
      <c r="G248" s="4" t="s">
        <v>1385</v>
      </c>
      <c r="H248" s="4" t="s">
        <v>1386</v>
      </c>
      <c r="I248" s="4" t="n">
        <v>44</v>
      </c>
      <c r="J248" s="4" t="n">
        <v>23</v>
      </c>
      <c r="K248" s="4"/>
    </row>
    <row r="249" customFormat="false" ht="15" hidden="false" customHeight="false" outlineLevel="0" collapsed="false">
      <c r="A249" s="4" t="s">
        <v>910</v>
      </c>
      <c r="B249" s="4" t="s">
        <v>1427</v>
      </c>
      <c r="C249" s="5" t="n">
        <v>96.37</v>
      </c>
      <c r="D249" s="4" t="s">
        <v>1387</v>
      </c>
      <c r="E249" s="5" t="n">
        <v>63.5</v>
      </c>
      <c r="F249" s="4" t="s">
        <v>13</v>
      </c>
      <c r="G249" s="4" t="s">
        <v>1385</v>
      </c>
      <c r="H249" s="4" t="s">
        <v>1386</v>
      </c>
      <c r="I249" s="4" t="n">
        <v>44</v>
      </c>
      <c r="J249" s="4" t="n">
        <v>23</v>
      </c>
      <c r="K249" s="4"/>
    </row>
    <row r="250" customFormat="false" ht="15" hidden="false" customHeight="false" outlineLevel="0" collapsed="false">
      <c r="A250" s="4" t="s">
        <v>913</v>
      </c>
      <c r="B250" s="4" t="s">
        <v>1417</v>
      </c>
      <c r="C250" s="5" t="n">
        <v>146.62</v>
      </c>
      <c r="D250" s="4" t="s">
        <v>1429</v>
      </c>
      <c r="E250" s="5" t="n">
        <v>90.5</v>
      </c>
      <c r="F250" s="4" t="s">
        <v>13</v>
      </c>
      <c r="G250" s="4" t="s">
        <v>1385</v>
      </c>
      <c r="H250" s="4" t="s">
        <v>1386</v>
      </c>
      <c r="I250" s="4" t="n">
        <v>44</v>
      </c>
      <c r="J250" s="4" t="n">
        <v>23</v>
      </c>
      <c r="K250" s="4"/>
    </row>
    <row r="251" customFormat="false" ht="15" hidden="false" customHeight="false" outlineLevel="0" collapsed="false">
      <c r="A251" s="4" t="s">
        <v>917</v>
      </c>
      <c r="B251" s="4" t="s">
        <v>1398</v>
      </c>
      <c r="C251" s="5" t="n">
        <v>1620</v>
      </c>
      <c r="D251" s="4" t="s">
        <v>1389</v>
      </c>
      <c r="E251" s="5" t="n">
        <v>1010.83</v>
      </c>
      <c r="F251" s="4" t="s">
        <v>13</v>
      </c>
      <c r="G251" s="4" t="s">
        <v>1385</v>
      </c>
      <c r="H251" s="4" t="s">
        <v>1386</v>
      </c>
      <c r="I251" s="4" t="n">
        <v>44</v>
      </c>
      <c r="J251" s="4" t="n">
        <v>23</v>
      </c>
      <c r="K251" s="4"/>
    </row>
    <row r="252" customFormat="false" ht="15" hidden="false" customHeight="false" outlineLevel="0" collapsed="false">
      <c r="A252" s="4" t="s">
        <v>920</v>
      </c>
      <c r="B252" s="4" t="s">
        <v>1396</v>
      </c>
      <c r="C252" s="5" t="n">
        <v>517</v>
      </c>
      <c r="D252" s="4" t="s">
        <v>1422</v>
      </c>
      <c r="E252" s="5" t="n">
        <v>196</v>
      </c>
      <c r="F252" s="4" t="s">
        <v>13</v>
      </c>
      <c r="G252" s="4" t="s">
        <v>1385</v>
      </c>
      <c r="H252" s="4" t="s">
        <v>1386</v>
      </c>
      <c r="I252" s="4" t="n">
        <v>44</v>
      </c>
      <c r="J252" s="4" t="n">
        <v>23</v>
      </c>
      <c r="K252" s="4"/>
    </row>
    <row r="253" customFormat="false" ht="15" hidden="false" customHeight="false" outlineLevel="0" collapsed="false">
      <c r="A253" s="4" t="s">
        <v>924</v>
      </c>
      <c r="B253" s="4" t="s">
        <v>1421</v>
      </c>
      <c r="C253" s="5" t="n">
        <v>127.96</v>
      </c>
      <c r="D253" s="4" t="s">
        <v>1389</v>
      </c>
      <c r="E253" s="5" t="n">
        <v>85.18</v>
      </c>
      <c r="F253" s="4" t="s">
        <v>13</v>
      </c>
      <c r="G253" s="4" t="s">
        <v>1385</v>
      </c>
      <c r="H253" s="4" t="s">
        <v>1386</v>
      </c>
      <c r="I253" s="4" t="n">
        <v>44</v>
      </c>
      <c r="J253" s="4" t="n">
        <v>23</v>
      </c>
      <c r="K253" s="4"/>
    </row>
    <row r="254" customFormat="false" ht="15" hidden="false" customHeight="false" outlineLevel="0" collapsed="false">
      <c r="A254" s="4" t="s">
        <v>927</v>
      </c>
      <c r="B254" s="4" t="s">
        <v>1387</v>
      </c>
      <c r="C254" s="5" t="n">
        <v>87.2</v>
      </c>
      <c r="D254" s="4" t="s">
        <v>1422</v>
      </c>
      <c r="E254" s="5" t="n">
        <v>56.53</v>
      </c>
      <c r="F254" s="4" t="s">
        <v>13</v>
      </c>
      <c r="G254" s="4" t="s">
        <v>1385</v>
      </c>
      <c r="H254" s="4" t="s">
        <v>1386</v>
      </c>
      <c r="I254" s="4" t="n">
        <v>44</v>
      </c>
      <c r="J254" s="4" t="n">
        <v>23</v>
      </c>
      <c r="K254" s="4"/>
    </row>
    <row r="255" customFormat="false" ht="15" hidden="false" customHeight="false" outlineLevel="0" collapsed="false">
      <c r="A255" s="4" t="s">
        <v>931</v>
      </c>
      <c r="B255" s="4" t="s">
        <v>1388</v>
      </c>
      <c r="C255" s="5" t="n">
        <v>25.02</v>
      </c>
      <c r="D255" s="4" t="s">
        <v>1384</v>
      </c>
      <c r="E255" s="5" t="n">
        <v>12.48</v>
      </c>
      <c r="F255" s="4" t="s">
        <v>13</v>
      </c>
      <c r="G255" s="4" t="s">
        <v>1385</v>
      </c>
      <c r="H255" s="4" t="s">
        <v>1386</v>
      </c>
      <c r="I255" s="4" t="n">
        <v>44</v>
      </c>
      <c r="J255" s="4" t="n">
        <v>23</v>
      </c>
      <c r="K255" s="4"/>
    </row>
    <row r="256" customFormat="false" ht="15" hidden="false" customHeight="false" outlineLevel="0" collapsed="false">
      <c r="A256" s="4" t="s">
        <v>934</v>
      </c>
      <c r="B256" s="4" t="s">
        <v>1400</v>
      </c>
      <c r="C256" s="5" t="n">
        <v>32.95</v>
      </c>
      <c r="D256" s="4" t="s">
        <v>1384</v>
      </c>
      <c r="E256" s="5" t="n">
        <v>19.41</v>
      </c>
      <c r="F256" s="4" t="s">
        <v>13</v>
      </c>
      <c r="G256" s="4" t="s">
        <v>1385</v>
      </c>
      <c r="H256" s="4" t="s">
        <v>1386</v>
      </c>
      <c r="I256" s="4" t="n">
        <v>44</v>
      </c>
      <c r="J256" s="4" t="n">
        <v>23</v>
      </c>
      <c r="K256" s="4"/>
    </row>
    <row r="257" customFormat="false" ht="15" hidden="false" customHeight="false" outlineLevel="0" collapsed="false">
      <c r="A257" s="4" t="s">
        <v>938</v>
      </c>
      <c r="B257" s="4" t="s">
        <v>1392</v>
      </c>
      <c r="C257" s="5" t="n">
        <v>16.47</v>
      </c>
      <c r="D257" s="4" t="s">
        <v>1424</v>
      </c>
      <c r="E257" s="5" t="n">
        <v>8.59</v>
      </c>
      <c r="F257" s="4" t="s">
        <v>13</v>
      </c>
      <c r="G257" s="4" t="s">
        <v>1385</v>
      </c>
      <c r="H257" s="4" t="s">
        <v>1386</v>
      </c>
      <c r="I257" s="4" t="n">
        <v>44</v>
      </c>
      <c r="J257" s="4" t="n">
        <v>23</v>
      </c>
      <c r="K257" s="4"/>
    </row>
    <row r="258" customFormat="false" ht="15" hidden="false" customHeight="false" outlineLevel="0" collapsed="false">
      <c r="A258" s="4" t="s">
        <v>942</v>
      </c>
      <c r="B258" s="4" t="s">
        <v>1402</v>
      </c>
      <c r="C258" s="5" t="n">
        <v>92.57</v>
      </c>
      <c r="D258" s="4" t="s">
        <v>1389</v>
      </c>
      <c r="E258" s="5" t="n">
        <v>51.87</v>
      </c>
      <c r="F258" s="4" t="s">
        <v>1408</v>
      </c>
      <c r="G258" s="4" t="s">
        <v>1385</v>
      </c>
      <c r="H258" s="4" t="s">
        <v>1409</v>
      </c>
      <c r="I258" s="4" t="n">
        <v>44</v>
      </c>
      <c r="J258" s="4" t="n">
        <v>23</v>
      </c>
      <c r="K258" s="4" t="s">
        <v>1410</v>
      </c>
    </row>
    <row r="259" customFormat="false" ht="15" hidden="false" customHeight="false" outlineLevel="0" collapsed="false">
      <c r="A259" s="4" t="s">
        <v>946</v>
      </c>
      <c r="B259" s="4" t="s">
        <v>1395</v>
      </c>
      <c r="C259" s="5" t="n">
        <v>70.37</v>
      </c>
      <c r="D259" s="4" t="s">
        <v>1389</v>
      </c>
      <c r="E259" s="5" t="n">
        <v>44</v>
      </c>
      <c r="F259" s="4" t="s">
        <v>13</v>
      </c>
      <c r="G259" s="4" t="s">
        <v>1385</v>
      </c>
      <c r="H259" s="4" t="s">
        <v>1386</v>
      </c>
      <c r="I259" s="4" t="n">
        <v>44</v>
      </c>
      <c r="J259" s="4" t="n">
        <v>23</v>
      </c>
      <c r="K259" s="4"/>
    </row>
    <row r="260" customFormat="false" ht="15" hidden="false" customHeight="false" outlineLevel="0" collapsed="false">
      <c r="A260" s="4" t="s">
        <v>949</v>
      </c>
      <c r="B260" s="4" t="s">
        <v>1394</v>
      </c>
      <c r="C260" s="5" t="n">
        <v>27.09</v>
      </c>
      <c r="D260" s="4" t="s">
        <v>1384</v>
      </c>
      <c r="E260" s="5" t="n">
        <v>15.83</v>
      </c>
      <c r="F260" s="4" t="s">
        <v>13</v>
      </c>
      <c r="G260" s="4" t="s">
        <v>1385</v>
      </c>
      <c r="H260" s="4" t="s">
        <v>1386</v>
      </c>
      <c r="I260" s="4" t="n">
        <v>44</v>
      </c>
      <c r="J260" s="4" t="n">
        <v>23</v>
      </c>
      <c r="K260" s="4"/>
    </row>
    <row r="261" customFormat="false" ht="15" hidden="false" customHeight="false" outlineLevel="0" collapsed="false">
      <c r="A261" s="4" t="s">
        <v>953</v>
      </c>
      <c r="B261" s="4" t="s">
        <v>1388</v>
      </c>
      <c r="C261" s="5" t="n">
        <v>106.92</v>
      </c>
      <c r="D261" s="4" t="s">
        <v>1424</v>
      </c>
      <c r="E261" s="5" t="n">
        <v>57.86</v>
      </c>
      <c r="F261" s="4" t="s">
        <v>13</v>
      </c>
      <c r="G261" s="4" t="s">
        <v>1385</v>
      </c>
      <c r="H261" s="4" t="s">
        <v>1386</v>
      </c>
      <c r="I261" s="4" t="n">
        <v>44</v>
      </c>
      <c r="J261" s="4" t="n">
        <v>23</v>
      </c>
      <c r="K261" s="4"/>
    </row>
    <row r="262" customFormat="false" ht="15" hidden="false" customHeight="false" outlineLevel="0" collapsed="false">
      <c r="A262" s="4" t="s">
        <v>956</v>
      </c>
      <c r="B262" s="4" t="s">
        <v>1401</v>
      </c>
      <c r="C262" s="5" t="n">
        <v>80.836</v>
      </c>
      <c r="D262" s="4" t="s">
        <v>1426</v>
      </c>
      <c r="E262" s="5" t="n">
        <v>46.11</v>
      </c>
      <c r="F262" s="4" t="s">
        <v>13</v>
      </c>
      <c r="G262" s="4" t="s">
        <v>1385</v>
      </c>
      <c r="H262" s="4" t="s">
        <v>1386</v>
      </c>
      <c r="I262" s="4" t="n">
        <v>44</v>
      </c>
      <c r="J262" s="4" t="n">
        <v>23</v>
      </c>
      <c r="K262" s="4"/>
    </row>
    <row r="263" customFormat="false" ht="15" hidden="false" customHeight="false" outlineLevel="0" collapsed="false">
      <c r="A263" s="4" t="s">
        <v>960</v>
      </c>
      <c r="B263" s="4" t="s">
        <v>1413</v>
      </c>
      <c r="C263" s="5" t="n">
        <v>45.6</v>
      </c>
      <c r="D263" s="4" t="s">
        <v>1384</v>
      </c>
      <c r="E263" s="5" t="n">
        <v>24.82</v>
      </c>
      <c r="F263" s="4" t="s">
        <v>13</v>
      </c>
      <c r="G263" s="4" t="s">
        <v>1385</v>
      </c>
      <c r="H263" s="4" t="s">
        <v>1386</v>
      </c>
      <c r="I263" s="4" t="n">
        <v>44</v>
      </c>
      <c r="J263" s="4" t="n">
        <v>23</v>
      </c>
      <c r="K263" s="4"/>
    </row>
    <row r="264" customFormat="false" ht="15" hidden="false" customHeight="false" outlineLevel="0" collapsed="false">
      <c r="A264" s="4" t="s">
        <v>963</v>
      </c>
      <c r="B264" s="4" t="s">
        <v>1423</v>
      </c>
      <c r="C264" s="5" t="n">
        <v>58.53</v>
      </c>
      <c r="D264" s="4" t="s">
        <v>1389</v>
      </c>
      <c r="E264" s="5" t="n">
        <v>36.6</v>
      </c>
      <c r="F264" s="4" t="s">
        <v>13</v>
      </c>
      <c r="G264" s="4" t="s">
        <v>1385</v>
      </c>
      <c r="H264" s="4" t="s">
        <v>1386</v>
      </c>
      <c r="I264" s="4" t="n">
        <v>44</v>
      </c>
      <c r="J264" s="4" t="n">
        <v>23</v>
      </c>
      <c r="K264" s="4"/>
    </row>
    <row r="265" customFormat="false" ht="15" hidden="false" customHeight="false" outlineLevel="0" collapsed="false">
      <c r="A265" s="4" t="s">
        <v>967</v>
      </c>
      <c r="B265" s="4" t="s">
        <v>1388</v>
      </c>
      <c r="C265" s="5" t="n">
        <v>47.26</v>
      </c>
      <c r="D265" s="4" t="s">
        <v>1389</v>
      </c>
      <c r="E265" s="5" t="n">
        <v>33.93</v>
      </c>
      <c r="F265" s="4" t="s">
        <v>13</v>
      </c>
      <c r="G265" s="4" t="s">
        <v>1385</v>
      </c>
      <c r="H265" s="4" t="s">
        <v>1386</v>
      </c>
      <c r="I265" s="4" t="n">
        <v>44</v>
      </c>
      <c r="J265" s="4" t="n">
        <v>23</v>
      </c>
      <c r="K265" s="4"/>
    </row>
    <row r="266" customFormat="false" ht="15" hidden="false" customHeight="false" outlineLevel="0" collapsed="false">
      <c r="A266" s="4" t="s">
        <v>970</v>
      </c>
      <c r="B266" s="4" t="s">
        <v>1395</v>
      </c>
      <c r="C266" s="5" t="n">
        <v>77.96</v>
      </c>
      <c r="D266" s="4" t="s">
        <v>1389</v>
      </c>
      <c r="E266" s="5" t="n">
        <v>47.67</v>
      </c>
      <c r="F266" s="4" t="s">
        <v>13</v>
      </c>
      <c r="G266" s="4" t="s">
        <v>1385</v>
      </c>
      <c r="H266" s="4" t="s">
        <v>1386</v>
      </c>
      <c r="I266" s="4" t="n">
        <v>44</v>
      </c>
      <c r="J266" s="4" t="n">
        <v>23</v>
      </c>
      <c r="K266" s="4"/>
    </row>
    <row r="267" customFormat="false" ht="15" hidden="false" customHeight="false" outlineLevel="0" collapsed="false">
      <c r="A267" s="4" t="s">
        <v>974</v>
      </c>
      <c r="B267" s="4" t="s">
        <v>1425</v>
      </c>
      <c r="C267" s="5" t="n">
        <v>72</v>
      </c>
      <c r="D267" s="4" t="s">
        <v>1426</v>
      </c>
      <c r="E267" s="5" t="n">
        <v>41.76</v>
      </c>
      <c r="F267" s="4" t="s">
        <v>13</v>
      </c>
      <c r="G267" s="4" t="s">
        <v>1385</v>
      </c>
      <c r="H267" s="4" t="s">
        <v>1386</v>
      </c>
      <c r="I267" s="4" t="n">
        <v>44</v>
      </c>
      <c r="J267" s="4" t="n">
        <v>23</v>
      </c>
      <c r="K267" s="4"/>
    </row>
    <row r="268" customFormat="false" ht="15" hidden="false" customHeight="false" outlineLevel="0" collapsed="false">
      <c r="A268" s="4" t="s">
        <v>978</v>
      </c>
      <c r="B268" s="4" t="s">
        <v>1388</v>
      </c>
      <c r="C268" s="5" t="n">
        <v>27.58</v>
      </c>
      <c r="D268" s="4" t="s">
        <v>1384</v>
      </c>
      <c r="E268" s="5" t="n">
        <v>18.62</v>
      </c>
      <c r="F268" s="4" t="s">
        <v>13</v>
      </c>
      <c r="G268" s="4" t="s">
        <v>1385</v>
      </c>
      <c r="H268" s="4" t="s">
        <v>1386</v>
      </c>
      <c r="I268" s="4" t="n">
        <v>44</v>
      </c>
      <c r="J268" s="4" t="n">
        <v>23</v>
      </c>
      <c r="K268" s="4"/>
    </row>
    <row r="269" customFormat="false" ht="15" hidden="false" customHeight="false" outlineLevel="0" collapsed="false">
      <c r="A269" s="4" t="s">
        <v>982</v>
      </c>
      <c r="B269" s="4" t="s">
        <v>1428</v>
      </c>
      <c r="C269" s="5" t="n">
        <v>45.44</v>
      </c>
      <c r="D269" s="4" t="s">
        <v>1384</v>
      </c>
      <c r="E269" s="5" t="n">
        <v>29.45</v>
      </c>
      <c r="F269" s="4" t="s">
        <v>13</v>
      </c>
      <c r="G269" s="4" t="s">
        <v>1385</v>
      </c>
      <c r="H269" s="4" t="s">
        <v>1386</v>
      </c>
      <c r="I269" s="4" t="n">
        <v>44</v>
      </c>
      <c r="J269" s="4" t="n">
        <v>23</v>
      </c>
      <c r="K269" s="4"/>
    </row>
    <row r="270" customFormat="false" ht="15" hidden="false" customHeight="false" outlineLevel="0" collapsed="false">
      <c r="A270" s="4" t="s">
        <v>985</v>
      </c>
      <c r="B270" s="4" t="s">
        <v>1391</v>
      </c>
      <c r="C270" s="5" t="n">
        <v>22.82</v>
      </c>
      <c r="D270" s="4" t="s">
        <v>1384</v>
      </c>
      <c r="E270" s="5" t="n">
        <v>12.03</v>
      </c>
      <c r="F270" s="4" t="s">
        <v>13</v>
      </c>
      <c r="G270" s="4" t="s">
        <v>1385</v>
      </c>
      <c r="H270" s="4" t="s">
        <v>1386</v>
      </c>
      <c r="I270" s="4" t="n">
        <v>44</v>
      </c>
      <c r="J270" s="4" t="n">
        <v>23</v>
      </c>
      <c r="K270" s="4"/>
    </row>
    <row r="271" customFormat="false" ht="15" hidden="false" customHeight="false" outlineLevel="0" collapsed="false">
      <c r="A271" s="4" t="s">
        <v>989</v>
      </c>
      <c r="B271" s="4" t="s">
        <v>1401</v>
      </c>
      <c r="C271" s="5" t="n">
        <v>69.71</v>
      </c>
      <c r="D271" s="4" t="s">
        <v>1389</v>
      </c>
      <c r="E271" s="5" t="n">
        <v>44.78</v>
      </c>
      <c r="F271" s="4" t="s">
        <v>13</v>
      </c>
      <c r="G271" s="4" t="s">
        <v>1385</v>
      </c>
      <c r="H271" s="4" t="s">
        <v>1386</v>
      </c>
      <c r="I271" s="4" t="n">
        <v>44</v>
      </c>
      <c r="J271" s="4" t="n">
        <v>23</v>
      </c>
      <c r="K271" s="4"/>
    </row>
    <row r="272" customFormat="false" ht="15" hidden="false" customHeight="false" outlineLevel="0" collapsed="false">
      <c r="A272" s="4" t="s">
        <v>992</v>
      </c>
      <c r="B272" s="4" t="s">
        <v>1396</v>
      </c>
      <c r="C272" s="5" t="n">
        <v>18.39</v>
      </c>
      <c r="D272" s="4" t="s">
        <v>1384</v>
      </c>
      <c r="E272" s="5" t="n">
        <v>9.53</v>
      </c>
      <c r="F272" s="4" t="s">
        <v>13</v>
      </c>
      <c r="G272" s="4" t="s">
        <v>1385</v>
      </c>
      <c r="H272" s="4" t="s">
        <v>1386</v>
      </c>
      <c r="I272" s="4" t="n">
        <v>44</v>
      </c>
      <c r="J272" s="4" t="n">
        <v>23</v>
      </c>
      <c r="K272" s="4"/>
    </row>
    <row r="273" customFormat="false" ht="15" hidden="false" customHeight="false" outlineLevel="0" collapsed="false">
      <c r="A273" s="4" t="s">
        <v>996</v>
      </c>
      <c r="B273" s="4" t="s">
        <v>1388</v>
      </c>
      <c r="C273" s="5" t="n">
        <v>20.87</v>
      </c>
      <c r="D273" s="4" t="s">
        <v>1426</v>
      </c>
      <c r="E273" s="5" t="n">
        <v>13.6</v>
      </c>
      <c r="F273" s="4" t="s">
        <v>13</v>
      </c>
      <c r="G273" s="4" t="s">
        <v>1385</v>
      </c>
      <c r="H273" s="4" t="s">
        <v>1386</v>
      </c>
      <c r="I273" s="4" t="n">
        <v>44</v>
      </c>
      <c r="J273" s="4" t="n">
        <v>23</v>
      </c>
      <c r="K273" s="4"/>
    </row>
    <row r="274" customFormat="false" ht="15" hidden="false" customHeight="false" outlineLevel="0" collapsed="false">
      <c r="A274" s="4" t="s">
        <v>1000</v>
      </c>
      <c r="B274" s="4" t="s">
        <v>1400</v>
      </c>
      <c r="C274" s="5" t="n">
        <v>18.88</v>
      </c>
      <c r="D274" s="4" t="s">
        <v>1384</v>
      </c>
      <c r="E274" s="5" t="n">
        <v>10.8</v>
      </c>
      <c r="F274" s="4" t="s">
        <v>13</v>
      </c>
      <c r="G274" s="4" t="s">
        <v>1385</v>
      </c>
      <c r="H274" s="4" t="s">
        <v>1386</v>
      </c>
      <c r="I274" s="4" t="n">
        <v>44</v>
      </c>
      <c r="J274" s="4" t="n">
        <v>23</v>
      </c>
      <c r="K274" s="4"/>
    </row>
    <row r="275" customFormat="false" ht="15" hidden="false" customHeight="false" outlineLevel="0" collapsed="false">
      <c r="A275" s="4" t="s">
        <v>1004</v>
      </c>
      <c r="B275" s="4" t="s">
        <v>1391</v>
      </c>
      <c r="C275" s="5" t="n">
        <v>500</v>
      </c>
      <c r="D275" s="4" t="s">
        <v>1424</v>
      </c>
      <c r="E275" s="5" t="n">
        <v>332.99</v>
      </c>
      <c r="F275" s="4" t="s">
        <v>13</v>
      </c>
      <c r="G275" s="4" t="s">
        <v>1385</v>
      </c>
      <c r="H275" s="4" t="s">
        <v>1386</v>
      </c>
      <c r="I275" s="4" t="n">
        <v>44</v>
      </c>
      <c r="J275" s="4" t="n">
        <v>23</v>
      </c>
      <c r="K275" s="4"/>
    </row>
    <row r="276" customFormat="false" ht="15" hidden="false" customHeight="false" outlineLevel="0" collapsed="false">
      <c r="A276" s="4" t="s">
        <v>1008</v>
      </c>
      <c r="B276" s="4" t="s">
        <v>1402</v>
      </c>
      <c r="C276" s="5" t="n">
        <v>395.17</v>
      </c>
      <c r="D276" s="4" t="s">
        <v>1389</v>
      </c>
      <c r="E276" s="5" t="n">
        <v>265.05</v>
      </c>
      <c r="F276" s="4" t="s">
        <v>13</v>
      </c>
      <c r="G276" s="4" t="s">
        <v>1385</v>
      </c>
      <c r="H276" s="4" t="s">
        <v>1386</v>
      </c>
      <c r="I276" s="4" t="n">
        <v>44</v>
      </c>
      <c r="J276" s="4" t="n">
        <v>23</v>
      </c>
      <c r="K276" s="4"/>
    </row>
    <row r="277" customFormat="false" ht="15" hidden="false" customHeight="false" outlineLevel="0" collapsed="false">
      <c r="A277" s="4" t="s">
        <v>1011</v>
      </c>
      <c r="B277" s="4" t="s">
        <v>1402</v>
      </c>
      <c r="C277" s="5" t="n">
        <v>113</v>
      </c>
      <c r="D277" s="4" t="s">
        <v>1389</v>
      </c>
      <c r="E277" s="5" t="n">
        <v>80.55</v>
      </c>
      <c r="F277" s="4" t="s">
        <v>13</v>
      </c>
      <c r="G277" s="4" t="s">
        <v>1385</v>
      </c>
      <c r="H277" s="4" t="s">
        <v>1386</v>
      </c>
      <c r="I277" s="4" t="n">
        <v>44</v>
      </c>
      <c r="J277" s="4" t="n">
        <v>23</v>
      </c>
      <c r="K277" s="4"/>
    </row>
    <row r="278" customFormat="false" ht="15" hidden="false" customHeight="false" outlineLevel="0" collapsed="false">
      <c r="A278" s="4" t="s">
        <v>1014</v>
      </c>
      <c r="B278" s="4" t="s">
        <v>1391</v>
      </c>
      <c r="C278" s="5" t="n">
        <v>618.87</v>
      </c>
      <c r="D278" s="4" t="s">
        <v>1389</v>
      </c>
      <c r="E278" s="5" t="n">
        <v>347</v>
      </c>
      <c r="F278" s="4" t="s">
        <v>13</v>
      </c>
      <c r="G278" s="4" t="s">
        <v>1385</v>
      </c>
      <c r="H278" s="4" t="s">
        <v>1386</v>
      </c>
      <c r="I278" s="4" t="n">
        <v>44</v>
      </c>
      <c r="J278" s="4" t="n">
        <v>23</v>
      </c>
      <c r="K278" s="4"/>
    </row>
    <row r="279" customFormat="false" ht="15" hidden="false" customHeight="false" outlineLevel="0" collapsed="false">
      <c r="A279" s="4" t="s">
        <v>1018</v>
      </c>
      <c r="B279" s="4" t="s">
        <v>1423</v>
      </c>
      <c r="C279" s="5" t="n">
        <v>11.3</v>
      </c>
      <c r="D279" s="4" t="s">
        <v>1384</v>
      </c>
      <c r="E279" s="5" t="n">
        <v>7.64</v>
      </c>
      <c r="F279" s="4" t="s">
        <v>13</v>
      </c>
      <c r="G279" s="4" t="s">
        <v>1385</v>
      </c>
      <c r="H279" s="4" t="s">
        <v>1386</v>
      </c>
      <c r="I279" s="4" t="n">
        <v>44</v>
      </c>
      <c r="J279" s="4" t="n">
        <v>23</v>
      </c>
      <c r="K279" s="4"/>
    </row>
    <row r="280" customFormat="false" ht="15" hidden="false" customHeight="false" outlineLevel="0" collapsed="false">
      <c r="A280" s="4" t="s">
        <v>1021</v>
      </c>
      <c r="B280" s="4" t="s">
        <v>1388</v>
      </c>
      <c r="C280" s="5" t="n">
        <v>30.57</v>
      </c>
      <c r="D280" s="4" t="s">
        <v>1384</v>
      </c>
      <c r="E280" s="5" t="n">
        <v>19.46</v>
      </c>
      <c r="F280" s="4" t="s">
        <v>13</v>
      </c>
      <c r="G280" s="4" t="s">
        <v>1385</v>
      </c>
      <c r="H280" s="4" t="s">
        <v>1386</v>
      </c>
      <c r="I280" s="4" t="n">
        <v>44</v>
      </c>
      <c r="J280" s="4" t="n">
        <v>23</v>
      </c>
      <c r="K280" s="4"/>
    </row>
    <row r="281" customFormat="false" ht="15" hidden="false" customHeight="false" outlineLevel="0" collapsed="false">
      <c r="A281" s="4" t="s">
        <v>1025</v>
      </c>
      <c r="B281" s="4" t="s">
        <v>1391</v>
      </c>
      <c r="C281" s="5" t="n">
        <v>366</v>
      </c>
      <c r="D281" s="4" t="s">
        <v>1384</v>
      </c>
      <c r="E281" s="5" t="n">
        <v>213.88</v>
      </c>
      <c r="F281" s="4" t="s">
        <v>13</v>
      </c>
      <c r="G281" s="4" t="s">
        <v>1385</v>
      </c>
      <c r="H281" s="4" t="s">
        <v>1386</v>
      </c>
      <c r="I281" s="4" t="n">
        <v>44</v>
      </c>
      <c r="J281" s="4" t="n">
        <v>23</v>
      </c>
      <c r="K281" s="4"/>
    </row>
    <row r="282" customFormat="false" ht="15" hidden="false" customHeight="false" outlineLevel="0" collapsed="false">
      <c r="A282" s="4" t="s">
        <v>1029</v>
      </c>
      <c r="B282" s="4" t="s">
        <v>1423</v>
      </c>
      <c r="C282" s="5" t="n">
        <v>76.261</v>
      </c>
      <c r="D282" s="4" t="s">
        <v>1384</v>
      </c>
      <c r="E282" s="5" t="n">
        <v>51.18</v>
      </c>
      <c r="F282" s="4" t="s">
        <v>13</v>
      </c>
      <c r="G282" s="4" t="s">
        <v>1385</v>
      </c>
      <c r="H282" s="4" t="s">
        <v>1386</v>
      </c>
      <c r="I282" s="4" t="n">
        <v>44</v>
      </c>
      <c r="J282" s="4" t="n">
        <v>23</v>
      </c>
      <c r="K282" s="4"/>
    </row>
    <row r="283" customFormat="false" ht="15" hidden="false" customHeight="false" outlineLevel="0" collapsed="false">
      <c r="A283" s="4" t="s">
        <v>1033</v>
      </c>
      <c r="B283" s="4" t="s">
        <v>1391</v>
      </c>
      <c r="C283" s="5" t="n">
        <v>459.88</v>
      </c>
      <c r="D283" s="4" t="s">
        <v>1424</v>
      </c>
      <c r="E283" s="5" t="n">
        <v>285.21</v>
      </c>
      <c r="F283" s="4" t="s">
        <v>13</v>
      </c>
      <c r="G283" s="4" t="s">
        <v>1385</v>
      </c>
      <c r="H283" s="4" t="s">
        <v>1386</v>
      </c>
      <c r="I283" s="4" t="n">
        <v>44</v>
      </c>
      <c r="J283" s="4" t="n">
        <v>23</v>
      </c>
      <c r="K283" s="4"/>
    </row>
    <row r="284" customFormat="false" ht="15" hidden="false" customHeight="false" outlineLevel="0" collapsed="false">
      <c r="A284" s="4" t="s">
        <v>1037</v>
      </c>
      <c r="B284" s="4" t="s">
        <v>1398</v>
      </c>
      <c r="C284" s="5" t="n">
        <v>459.37</v>
      </c>
      <c r="D284" s="4" t="s">
        <v>1422</v>
      </c>
      <c r="E284" s="5" t="n">
        <v>255.38</v>
      </c>
      <c r="F284" s="4" t="s">
        <v>13</v>
      </c>
      <c r="G284" s="4" t="s">
        <v>1385</v>
      </c>
      <c r="H284" s="4" t="s">
        <v>1386</v>
      </c>
      <c r="I284" s="4" t="n">
        <v>44</v>
      </c>
      <c r="J284" s="4" t="n">
        <v>23</v>
      </c>
      <c r="K284" s="4"/>
    </row>
    <row r="285" customFormat="false" ht="15" hidden="false" customHeight="false" outlineLevel="0" collapsed="false">
      <c r="A285" s="4" t="s">
        <v>1040</v>
      </c>
      <c r="B285" s="4" t="s">
        <v>1423</v>
      </c>
      <c r="C285" s="5" t="n">
        <v>55.6</v>
      </c>
      <c r="D285" s="4" t="s">
        <v>1389</v>
      </c>
      <c r="E285" s="5" t="n">
        <v>35</v>
      </c>
      <c r="F285" s="4" t="s">
        <v>13</v>
      </c>
      <c r="G285" s="4" t="s">
        <v>1385</v>
      </c>
      <c r="H285" s="4" t="s">
        <v>1386</v>
      </c>
      <c r="I285" s="4" t="n">
        <v>44</v>
      </c>
      <c r="J285" s="4" t="n">
        <v>23</v>
      </c>
      <c r="K285" s="4"/>
    </row>
    <row r="286" customFormat="false" ht="15" hidden="false" customHeight="false" outlineLevel="0" collapsed="false">
      <c r="A286" s="4" t="s">
        <v>1044</v>
      </c>
      <c r="B286" s="4" t="s">
        <v>1419</v>
      </c>
      <c r="C286" s="5" t="n">
        <v>11.54</v>
      </c>
      <c r="D286" s="4" t="s">
        <v>1429</v>
      </c>
      <c r="E286" s="5" t="n">
        <v>8.8</v>
      </c>
      <c r="F286" s="4" t="s">
        <v>13</v>
      </c>
      <c r="G286" s="4" t="s">
        <v>1385</v>
      </c>
      <c r="H286" s="4" t="s">
        <v>1386</v>
      </c>
      <c r="I286" s="4" t="n">
        <v>44</v>
      </c>
      <c r="J286" s="4" t="n">
        <v>23</v>
      </c>
      <c r="K286" s="4"/>
    </row>
    <row r="287" customFormat="false" ht="15" hidden="false" customHeight="false" outlineLevel="0" collapsed="false">
      <c r="A287" s="4" t="s">
        <v>1047</v>
      </c>
      <c r="B287" s="4" t="s">
        <v>1411</v>
      </c>
      <c r="C287" s="5" t="n">
        <v>30.856</v>
      </c>
      <c r="D287" s="4" t="s">
        <v>1384</v>
      </c>
      <c r="E287" s="5" t="n">
        <v>17.78</v>
      </c>
      <c r="F287" s="4" t="s">
        <v>13</v>
      </c>
      <c r="G287" s="4" t="s">
        <v>1385</v>
      </c>
      <c r="H287" s="4" t="s">
        <v>1386</v>
      </c>
      <c r="I287" s="4" t="n">
        <v>44</v>
      </c>
      <c r="J287" s="4" t="n">
        <v>23</v>
      </c>
      <c r="K287" s="4"/>
    </row>
    <row r="288" customFormat="false" ht="15" hidden="false" customHeight="false" outlineLevel="0" collapsed="false">
      <c r="A288" s="4" t="s">
        <v>1050</v>
      </c>
      <c r="B288" s="4" t="s">
        <v>1423</v>
      </c>
      <c r="C288" s="5" t="n">
        <v>39.05</v>
      </c>
      <c r="D288" s="4" t="s">
        <v>1384</v>
      </c>
      <c r="E288" s="5" t="n">
        <v>26.59</v>
      </c>
      <c r="F288" s="4" t="s">
        <v>13</v>
      </c>
      <c r="G288" s="4" t="s">
        <v>1385</v>
      </c>
      <c r="H288" s="4" t="s">
        <v>1386</v>
      </c>
      <c r="I288" s="4" t="n">
        <v>44</v>
      </c>
      <c r="J288" s="4" t="n">
        <v>23</v>
      </c>
      <c r="K288" s="4"/>
    </row>
    <row r="289" customFormat="false" ht="15" hidden="false" customHeight="false" outlineLevel="0" collapsed="false">
      <c r="A289" s="4" t="s">
        <v>1053</v>
      </c>
      <c r="B289" s="4" t="s">
        <v>1391</v>
      </c>
      <c r="C289" s="5" t="n">
        <v>57.72</v>
      </c>
      <c r="D289" s="4" t="s">
        <v>1384</v>
      </c>
      <c r="E289" s="5" t="n">
        <v>32.1</v>
      </c>
      <c r="F289" s="4" t="s">
        <v>13</v>
      </c>
      <c r="G289" s="4" t="s">
        <v>1385</v>
      </c>
      <c r="H289" s="4" t="s">
        <v>1386</v>
      </c>
      <c r="I289" s="4" t="n">
        <v>44</v>
      </c>
      <c r="J289" s="4" t="n">
        <v>23</v>
      </c>
      <c r="K289" s="4"/>
    </row>
    <row r="290" customFormat="false" ht="15" hidden="false" customHeight="false" outlineLevel="0" collapsed="false">
      <c r="A290" s="4" t="s">
        <v>1057</v>
      </c>
      <c r="B290" s="4" t="s">
        <v>1388</v>
      </c>
      <c r="C290" s="5" t="n">
        <v>17.216</v>
      </c>
      <c r="D290" s="4" t="s">
        <v>1429</v>
      </c>
      <c r="E290" s="5" t="n">
        <v>11.49</v>
      </c>
      <c r="F290" s="4" t="s">
        <v>13</v>
      </c>
      <c r="G290" s="4" t="s">
        <v>1385</v>
      </c>
      <c r="H290" s="4" t="s">
        <v>1386</v>
      </c>
      <c r="I290" s="4" t="n">
        <v>44</v>
      </c>
      <c r="J290" s="4" t="n">
        <v>23</v>
      </c>
      <c r="K290" s="4"/>
    </row>
    <row r="291" customFormat="false" ht="15" hidden="false" customHeight="false" outlineLevel="0" collapsed="false">
      <c r="A291" s="4" t="s">
        <v>1061</v>
      </c>
      <c r="B291" s="4" t="s">
        <v>1425</v>
      </c>
      <c r="C291" s="5" t="n">
        <v>15.08</v>
      </c>
      <c r="D291" s="4" t="s">
        <v>1426</v>
      </c>
      <c r="E291" s="5" t="n">
        <v>9.75</v>
      </c>
      <c r="F291" s="4" t="s">
        <v>13</v>
      </c>
      <c r="G291" s="4" t="s">
        <v>1385</v>
      </c>
      <c r="H291" s="4" t="s">
        <v>1386</v>
      </c>
      <c r="I291" s="4" t="n">
        <v>44</v>
      </c>
      <c r="J291" s="4" t="n">
        <v>23</v>
      </c>
      <c r="K291" s="4"/>
    </row>
    <row r="292" customFormat="false" ht="15" hidden="false" customHeight="false" outlineLevel="0" collapsed="false">
      <c r="A292" s="4" t="s">
        <v>1065</v>
      </c>
      <c r="B292" s="4" t="s">
        <v>1419</v>
      </c>
      <c r="C292" s="5" t="n">
        <v>13.44</v>
      </c>
      <c r="D292" s="4" t="s">
        <v>1406</v>
      </c>
      <c r="E292" s="5" t="n">
        <v>8.7</v>
      </c>
      <c r="F292" s="4" t="s">
        <v>13</v>
      </c>
      <c r="G292" s="4" t="s">
        <v>1385</v>
      </c>
      <c r="H292" s="4" t="s">
        <v>1386</v>
      </c>
      <c r="I292" s="4" t="n">
        <v>44</v>
      </c>
      <c r="J292" s="4" t="n">
        <v>23</v>
      </c>
      <c r="K292" s="4"/>
    </row>
    <row r="293" customFormat="false" ht="15" hidden="false" customHeight="false" outlineLevel="0" collapsed="false">
      <c r="A293" s="4" t="s">
        <v>1069</v>
      </c>
      <c r="B293" s="4" t="s">
        <v>1391</v>
      </c>
      <c r="C293" s="5" t="n">
        <v>332.514</v>
      </c>
      <c r="D293" s="4" t="s">
        <v>1424</v>
      </c>
      <c r="E293" s="5" t="n">
        <v>179.864</v>
      </c>
      <c r="F293" s="4" t="s">
        <v>13</v>
      </c>
      <c r="G293" s="4" t="s">
        <v>1385</v>
      </c>
      <c r="H293" s="4" t="s">
        <v>1386</v>
      </c>
      <c r="I293" s="4" t="n">
        <v>44</v>
      </c>
      <c r="J293" s="4" t="n">
        <v>23</v>
      </c>
      <c r="K293" s="4"/>
    </row>
    <row r="294" customFormat="false" ht="15" hidden="false" customHeight="false" outlineLevel="0" collapsed="false">
      <c r="A294" s="4" t="s">
        <v>1073</v>
      </c>
      <c r="B294" s="4" t="s">
        <v>1388</v>
      </c>
      <c r="C294" s="5" t="n">
        <v>64.79</v>
      </c>
      <c r="D294" s="4" t="s">
        <v>1426</v>
      </c>
      <c r="E294" s="5" t="n">
        <v>43.8</v>
      </c>
      <c r="F294" s="4" t="s">
        <v>13</v>
      </c>
      <c r="G294" s="4" t="s">
        <v>1385</v>
      </c>
      <c r="H294" s="4" t="s">
        <v>1386</v>
      </c>
      <c r="I294" s="4" t="n">
        <v>44</v>
      </c>
      <c r="J294" s="4" t="n">
        <v>23</v>
      </c>
      <c r="K294" s="4"/>
    </row>
    <row r="295" customFormat="false" ht="15" hidden="false" customHeight="false" outlineLevel="0" collapsed="false">
      <c r="A295" s="4" t="s">
        <v>1077</v>
      </c>
      <c r="B295" s="4" t="s">
        <v>1414</v>
      </c>
      <c r="C295" s="5" t="n">
        <v>7.71</v>
      </c>
      <c r="D295" s="4" t="s">
        <v>1384</v>
      </c>
      <c r="E295" s="5" t="n">
        <v>5.27</v>
      </c>
      <c r="F295" s="4" t="s">
        <v>13</v>
      </c>
      <c r="G295" s="4" t="s">
        <v>1385</v>
      </c>
      <c r="H295" s="4" t="s">
        <v>1386</v>
      </c>
      <c r="I295" s="4" t="n">
        <v>44</v>
      </c>
      <c r="J295" s="4" t="n">
        <v>23</v>
      </c>
      <c r="K295" s="4"/>
    </row>
    <row r="296" customFormat="false" ht="15" hidden="false" customHeight="false" outlineLevel="0" collapsed="false">
      <c r="A296" s="4" t="s">
        <v>1080</v>
      </c>
      <c r="B296" s="4" t="s">
        <v>1420</v>
      </c>
      <c r="C296" s="5" t="n">
        <v>33.88</v>
      </c>
      <c r="D296" s="4" t="s">
        <v>1389</v>
      </c>
      <c r="E296" s="5" t="n">
        <v>24.52</v>
      </c>
      <c r="F296" s="4" t="s">
        <v>13</v>
      </c>
      <c r="G296" s="4" t="s">
        <v>1385</v>
      </c>
      <c r="H296" s="4" t="s">
        <v>1386</v>
      </c>
      <c r="I296" s="4" t="n">
        <v>44</v>
      </c>
      <c r="J296" s="4" t="n">
        <v>23</v>
      </c>
      <c r="K296" s="4"/>
    </row>
    <row r="297" customFormat="false" ht="15" hidden="false" customHeight="false" outlineLevel="0" collapsed="false">
      <c r="A297" s="4" t="s">
        <v>1084</v>
      </c>
      <c r="B297" s="4" t="s">
        <v>1396</v>
      </c>
      <c r="C297" s="5" t="n">
        <v>980</v>
      </c>
      <c r="D297" s="4" t="s">
        <v>1422</v>
      </c>
      <c r="E297" s="5" t="n">
        <v>334</v>
      </c>
      <c r="F297" s="4" t="s">
        <v>13</v>
      </c>
      <c r="G297" s="4" t="s">
        <v>1385</v>
      </c>
      <c r="H297" s="4" t="s">
        <v>1386</v>
      </c>
      <c r="I297" s="4" t="n">
        <v>44</v>
      </c>
      <c r="J297" s="4" t="n">
        <v>23</v>
      </c>
      <c r="K297" s="4"/>
    </row>
    <row r="298" customFormat="false" ht="15" hidden="false" customHeight="false" outlineLevel="0" collapsed="false">
      <c r="A298" s="4" t="s">
        <v>1088</v>
      </c>
      <c r="B298" s="4" t="s">
        <v>1388</v>
      </c>
      <c r="C298" s="5" t="n">
        <v>77.32</v>
      </c>
      <c r="D298" s="4" t="s">
        <v>1384</v>
      </c>
      <c r="E298" s="5" t="n">
        <v>46.38</v>
      </c>
      <c r="F298" s="4" t="s">
        <v>13</v>
      </c>
      <c r="G298" s="4" t="s">
        <v>1385</v>
      </c>
      <c r="H298" s="4" t="s">
        <v>1386</v>
      </c>
      <c r="I298" s="4" t="n">
        <v>44</v>
      </c>
      <c r="J298" s="4" t="n">
        <v>23</v>
      </c>
      <c r="K298" s="4"/>
    </row>
    <row r="299" customFormat="false" ht="15" hidden="false" customHeight="false" outlineLevel="0" collapsed="false">
      <c r="A299" s="4" t="s">
        <v>1092</v>
      </c>
      <c r="B299" s="4" t="s">
        <v>1388</v>
      </c>
      <c r="C299" s="5" t="n">
        <v>76.92</v>
      </c>
      <c r="D299" s="4" t="s">
        <v>1389</v>
      </c>
      <c r="E299" s="5" t="n">
        <v>52.01</v>
      </c>
      <c r="F299" s="4" t="s">
        <v>13</v>
      </c>
      <c r="G299" s="4" t="s">
        <v>1385</v>
      </c>
      <c r="H299" s="4" t="s">
        <v>1386</v>
      </c>
      <c r="I299" s="4" t="n">
        <v>44</v>
      </c>
      <c r="J299" s="4" t="n">
        <v>23</v>
      </c>
      <c r="K299" s="4"/>
    </row>
    <row r="300" customFormat="false" ht="15" hidden="false" customHeight="false" outlineLevel="0" collapsed="false">
      <c r="A300" s="4" t="s">
        <v>1095</v>
      </c>
      <c r="B300" s="4" t="s">
        <v>1402</v>
      </c>
      <c r="C300" s="5" t="n">
        <v>30.58</v>
      </c>
      <c r="D300" s="4" t="s">
        <v>1389</v>
      </c>
      <c r="E300" s="5" t="n">
        <v>23.32</v>
      </c>
      <c r="F300" s="4" t="s">
        <v>13</v>
      </c>
      <c r="G300" s="4" t="s">
        <v>1385</v>
      </c>
      <c r="H300" s="4" t="s">
        <v>1386</v>
      </c>
      <c r="I300" s="4" t="n">
        <v>44</v>
      </c>
      <c r="J300" s="4" t="n">
        <v>23</v>
      </c>
      <c r="K300" s="4"/>
    </row>
    <row r="301" customFormat="false" ht="15" hidden="false" customHeight="false" outlineLevel="0" collapsed="false">
      <c r="A301" s="4" t="s">
        <v>1099</v>
      </c>
      <c r="B301" s="4" t="s">
        <v>1414</v>
      </c>
      <c r="C301" s="5" t="n">
        <v>19.01</v>
      </c>
      <c r="D301" s="4" t="s">
        <v>1384</v>
      </c>
      <c r="E301" s="5" t="n">
        <v>10.18</v>
      </c>
      <c r="F301" s="4" t="s">
        <v>13</v>
      </c>
      <c r="G301" s="4" t="s">
        <v>1385</v>
      </c>
      <c r="H301" s="4" t="s">
        <v>1386</v>
      </c>
      <c r="I301" s="4" t="n">
        <v>44</v>
      </c>
      <c r="J301" s="4" t="n">
        <v>23</v>
      </c>
      <c r="K301" s="4"/>
    </row>
    <row r="302" customFormat="false" ht="15" hidden="false" customHeight="false" outlineLevel="0" collapsed="false">
      <c r="A302" s="4" t="s">
        <v>1103</v>
      </c>
      <c r="B302" s="4" t="s">
        <v>1401</v>
      </c>
      <c r="C302" s="5" t="n">
        <v>49.131</v>
      </c>
      <c r="D302" s="4" t="s">
        <v>1426</v>
      </c>
      <c r="E302" s="5" t="n">
        <v>34.91</v>
      </c>
      <c r="F302" s="4" t="s">
        <v>13</v>
      </c>
      <c r="G302" s="4" t="s">
        <v>1385</v>
      </c>
      <c r="H302" s="4" t="s">
        <v>1386</v>
      </c>
      <c r="I302" s="4" t="n">
        <v>44</v>
      </c>
      <c r="J302" s="4" t="n">
        <v>23</v>
      </c>
      <c r="K302" s="4"/>
    </row>
    <row r="303" customFormat="false" ht="15" hidden="false" customHeight="false" outlineLevel="0" collapsed="false">
      <c r="A303" s="4" t="s">
        <v>1107</v>
      </c>
      <c r="B303" s="4" t="s">
        <v>1391</v>
      </c>
      <c r="C303" s="5" t="n">
        <v>48.79</v>
      </c>
      <c r="D303" s="4" t="s">
        <v>1424</v>
      </c>
      <c r="E303" s="5" t="n">
        <v>34</v>
      </c>
      <c r="F303" s="4" t="s">
        <v>13</v>
      </c>
      <c r="G303" s="4" t="s">
        <v>1385</v>
      </c>
      <c r="H303" s="4" t="s">
        <v>1386</v>
      </c>
      <c r="I303" s="4" t="n">
        <v>44</v>
      </c>
      <c r="J303" s="4" t="n">
        <v>23</v>
      </c>
      <c r="K303" s="4"/>
    </row>
    <row r="304" customFormat="false" ht="15" hidden="false" customHeight="false" outlineLevel="0" collapsed="false">
      <c r="A304" s="4" t="s">
        <v>1110</v>
      </c>
      <c r="B304" s="4" t="s">
        <v>1398</v>
      </c>
      <c r="C304" s="5" t="n">
        <v>47.21</v>
      </c>
      <c r="D304" s="4" t="s">
        <v>1424</v>
      </c>
      <c r="E304" s="5" t="n">
        <v>31.88</v>
      </c>
      <c r="F304" s="4" t="s">
        <v>13</v>
      </c>
      <c r="G304" s="4" t="s">
        <v>1385</v>
      </c>
      <c r="H304" s="4" t="s">
        <v>1386</v>
      </c>
      <c r="I304" s="4" t="n">
        <v>44</v>
      </c>
      <c r="J304" s="4" t="n">
        <v>23</v>
      </c>
      <c r="K304" s="4"/>
    </row>
    <row r="305" customFormat="false" ht="15" hidden="false" customHeight="false" outlineLevel="0" collapsed="false">
      <c r="A305" s="4" t="s">
        <v>1113</v>
      </c>
      <c r="B305" s="4" t="s">
        <v>1388</v>
      </c>
      <c r="C305" s="5" t="n">
        <v>22.392</v>
      </c>
      <c r="D305" s="4" t="s">
        <v>1384</v>
      </c>
      <c r="E305" s="5" t="n">
        <v>12.82</v>
      </c>
      <c r="F305" s="4" t="s">
        <v>13</v>
      </c>
      <c r="G305" s="4" t="s">
        <v>1385</v>
      </c>
      <c r="H305" s="4" t="s">
        <v>1386</v>
      </c>
      <c r="I305" s="4" t="n">
        <v>44</v>
      </c>
      <c r="J305" s="4" t="n">
        <v>23</v>
      </c>
      <c r="K305" s="4"/>
    </row>
    <row r="306" customFormat="false" ht="15" hidden="false" customHeight="false" outlineLevel="0" collapsed="false">
      <c r="A306" s="4" t="s">
        <v>1117</v>
      </c>
      <c r="B306" s="4" t="s">
        <v>1420</v>
      </c>
      <c r="C306" s="5" t="n">
        <v>945</v>
      </c>
      <c r="D306" s="4" t="s">
        <v>1384</v>
      </c>
      <c r="E306" s="5" t="n">
        <v>613.81</v>
      </c>
      <c r="F306" s="4" t="s">
        <v>1415</v>
      </c>
      <c r="G306" s="4" t="s">
        <v>1385</v>
      </c>
      <c r="H306" s="4" t="s">
        <v>1386</v>
      </c>
      <c r="I306" s="4" t="n">
        <v>34</v>
      </c>
      <c r="J306" s="4" t="n">
        <v>15</v>
      </c>
      <c r="K306" s="4" t="s">
        <v>1430</v>
      </c>
    </row>
    <row r="307" customFormat="false" ht="15" hidden="false" customHeight="false" outlineLevel="0" collapsed="false">
      <c r="A307" s="4" t="s">
        <v>1121</v>
      </c>
      <c r="B307" s="4" t="s">
        <v>1388</v>
      </c>
      <c r="C307" s="5" t="n">
        <v>78.701</v>
      </c>
      <c r="D307" s="4" t="s">
        <v>1426</v>
      </c>
      <c r="E307" s="5" t="n">
        <v>48.77</v>
      </c>
      <c r="F307" s="4" t="s">
        <v>13</v>
      </c>
      <c r="G307" s="4" t="s">
        <v>1385</v>
      </c>
      <c r="H307" s="4" t="s">
        <v>1386</v>
      </c>
      <c r="I307" s="4" t="n">
        <v>44</v>
      </c>
      <c r="J307" s="4" t="n">
        <v>23</v>
      </c>
      <c r="K307" s="4"/>
    </row>
    <row r="308" customFormat="false" ht="15" hidden="false" customHeight="false" outlineLevel="0" collapsed="false">
      <c r="A308" s="4" t="s">
        <v>1125</v>
      </c>
      <c r="B308" s="4" t="s">
        <v>1388</v>
      </c>
      <c r="C308" s="5" t="n">
        <v>69.8</v>
      </c>
      <c r="D308" s="4" t="s">
        <v>1384</v>
      </c>
      <c r="E308" s="5" t="n">
        <v>39.86</v>
      </c>
      <c r="F308" s="4" t="s">
        <v>13</v>
      </c>
      <c r="G308" s="4" t="s">
        <v>1385</v>
      </c>
      <c r="H308" s="4" t="s">
        <v>1386</v>
      </c>
      <c r="I308" s="4" t="n">
        <v>44</v>
      </c>
      <c r="J308" s="4" t="n">
        <v>23</v>
      </c>
      <c r="K308" s="4"/>
    </row>
    <row r="309" customFormat="false" ht="15" hidden="false" customHeight="false" outlineLevel="0" collapsed="false">
      <c r="A309" s="4" t="s">
        <v>1129</v>
      </c>
      <c r="B309" s="4" t="s">
        <v>1402</v>
      </c>
      <c r="C309" s="5" t="n">
        <v>176.34</v>
      </c>
      <c r="D309" s="4" t="s">
        <v>1389</v>
      </c>
      <c r="E309" s="5" t="n">
        <v>121.82</v>
      </c>
      <c r="F309" s="4" t="s">
        <v>1408</v>
      </c>
      <c r="G309" s="4" t="s">
        <v>1385</v>
      </c>
      <c r="H309" s="4" t="s">
        <v>1409</v>
      </c>
      <c r="I309" s="4" t="n">
        <v>44</v>
      </c>
      <c r="J309" s="4" t="n">
        <v>23</v>
      </c>
      <c r="K309" s="4" t="s">
        <v>1410</v>
      </c>
    </row>
    <row r="310" customFormat="false" ht="15" hidden="false" customHeight="false" outlineLevel="0" collapsed="false">
      <c r="A310" s="4" t="s">
        <v>1133</v>
      </c>
      <c r="B310" s="4" t="s">
        <v>1400</v>
      </c>
      <c r="C310" s="5" t="n">
        <v>34.15</v>
      </c>
      <c r="D310" s="4" t="s">
        <v>1384</v>
      </c>
      <c r="E310" s="5" t="n">
        <v>17.65</v>
      </c>
      <c r="F310" s="4" t="s">
        <v>13</v>
      </c>
      <c r="G310" s="4" t="s">
        <v>1385</v>
      </c>
      <c r="H310" s="4" t="s">
        <v>1386</v>
      </c>
      <c r="I310" s="4" t="n">
        <v>44</v>
      </c>
      <c r="J310" s="4" t="n">
        <v>23</v>
      </c>
      <c r="K310" s="4"/>
    </row>
    <row r="311" customFormat="false" ht="15" hidden="false" customHeight="false" outlineLevel="0" collapsed="false">
      <c r="A311" s="4" t="s">
        <v>1137</v>
      </c>
      <c r="B311" s="4" t="s">
        <v>1388</v>
      </c>
      <c r="C311" s="5" t="n">
        <v>41.47</v>
      </c>
      <c r="D311" s="4" t="s">
        <v>1426</v>
      </c>
      <c r="E311" s="5" t="n">
        <v>29.5</v>
      </c>
      <c r="F311" s="4" t="s">
        <v>13</v>
      </c>
      <c r="G311" s="4" t="s">
        <v>1385</v>
      </c>
      <c r="H311" s="4" t="s">
        <v>1386</v>
      </c>
      <c r="I311" s="4" t="n">
        <v>44</v>
      </c>
      <c r="J311" s="4" t="n">
        <v>23</v>
      </c>
      <c r="K311" s="4"/>
    </row>
    <row r="312" customFormat="false" ht="15" hidden="false" customHeight="false" outlineLevel="0" collapsed="false">
      <c r="A312" s="4" t="s">
        <v>1141</v>
      </c>
      <c r="B312" s="4" t="s">
        <v>1388</v>
      </c>
      <c r="C312" s="5" t="n">
        <v>68.6</v>
      </c>
      <c r="D312" s="4" t="s">
        <v>1420</v>
      </c>
      <c r="E312" s="5" t="n">
        <v>51.91</v>
      </c>
      <c r="F312" s="4" t="s">
        <v>13</v>
      </c>
      <c r="G312" s="4" t="s">
        <v>1385</v>
      </c>
      <c r="H312" s="4" t="s">
        <v>1386</v>
      </c>
      <c r="I312" s="4" t="n">
        <v>44</v>
      </c>
      <c r="J312" s="4" t="n">
        <v>23</v>
      </c>
      <c r="K312" s="4"/>
    </row>
    <row r="313" customFormat="false" ht="15" hidden="false" customHeight="false" outlineLevel="0" collapsed="false">
      <c r="A313" s="4" t="s">
        <v>1145</v>
      </c>
      <c r="B313" s="4" t="s">
        <v>1388</v>
      </c>
      <c r="C313" s="5" t="n">
        <v>10.62</v>
      </c>
      <c r="D313" s="4" t="s">
        <v>1404</v>
      </c>
      <c r="E313" s="5" t="n">
        <v>8.26</v>
      </c>
      <c r="F313" s="4" t="s">
        <v>13</v>
      </c>
      <c r="G313" s="4" t="s">
        <v>1385</v>
      </c>
      <c r="H313" s="4" t="s">
        <v>1386</v>
      </c>
      <c r="I313" s="4" t="n">
        <v>44</v>
      </c>
      <c r="J313" s="4" t="n">
        <v>23</v>
      </c>
      <c r="K313" s="4"/>
    </row>
    <row r="314" customFormat="false" ht="15" hidden="false" customHeight="false" outlineLevel="0" collapsed="false">
      <c r="A314" s="4" t="s">
        <v>1148</v>
      </c>
      <c r="B314" s="4" t="s">
        <v>1388</v>
      </c>
      <c r="C314" s="5" t="n">
        <v>22.556</v>
      </c>
      <c r="D314" s="4" t="s">
        <v>1424</v>
      </c>
      <c r="E314" s="5" t="n">
        <v>14.91</v>
      </c>
      <c r="F314" s="4" t="s">
        <v>13</v>
      </c>
      <c r="G314" s="4" t="s">
        <v>1385</v>
      </c>
      <c r="H314" s="4" t="s">
        <v>1386</v>
      </c>
      <c r="I314" s="4" t="n">
        <v>44</v>
      </c>
      <c r="J314" s="4" t="n">
        <v>23</v>
      </c>
      <c r="K314" s="4"/>
    </row>
    <row r="315" customFormat="false" ht="15" hidden="false" customHeight="false" outlineLevel="0" collapsed="false">
      <c r="A315" s="4" t="s">
        <v>1151</v>
      </c>
      <c r="B315" s="4" t="s">
        <v>1402</v>
      </c>
      <c r="C315" s="5" t="n">
        <v>43.13</v>
      </c>
      <c r="D315" s="4" t="s">
        <v>1389</v>
      </c>
      <c r="E315" s="5" t="n">
        <v>31.8</v>
      </c>
      <c r="F315" s="4" t="s">
        <v>13</v>
      </c>
      <c r="G315" s="4" t="s">
        <v>1385</v>
      </c>
      <c r="H315" s="4" t="s">
        <v>1386</v>
      </c>
      <c r="I315" s="4" t="n">
        <v>44</v>
      </c>
      <c r="J315" s="4" t="n">
        <v>23</v>
      </c>
      <c r="K315" s="4"/>
    </row>
    <row r="316" customFormat="false" ht="15" hidden="false" customHeight="false" outlineLevel="0" collapsed="false">
      <c r="A316" s="4" t="s">
        <v>1154</v>
      </c>
      <c r="B316" s="4" t="s">
        <v>1388</v>
      </c>
      <c r="C316" s="5" t="n">
        <v>219.11</v>
      </c>
      <c r="D316" s="4" t="s">
        <v>1429</v>
      </c>
      <c r="E316" s="5" t="n">
        <v>145.29</v>
      </c>
      <c r="F316" s="4" t="s">
        <v>13</v>
      </c>
      <c r="G316" s="4" t="s">
        <v>1385</v>
      </c>
      <c r="H316" s="4" t="s">
        <v>1386</v>
      </c>
      <c r="I316" s="4" t="n">
        <v>44</v>
      </c>
      <c r="J316" s="4" t="n">
        <v>23</v>
      </c>
      <c r="K316" s="4"/>
    </row>
    <row r="317" customFormat="false" ht="15" hidden="false" customHeight="false" outlineLevel="0" collapsed="false">
      <c r="A317" s="4" t="s">
        <v>1158</v>
      </c>
      <c r="B317" s="4" t="s">
        <v>1388</v>
      </c>
      <c r="C317" s="5" t="n">
        <v>49.77</v>
      </c>
      <c r="D317" s="4" t="s">
        <v>1426</v>
      </c>
      <c r="E317" s="5" t="n">
        <v>38.55</v>
      </c>
      <c r="F317" s="4" t="s">
        <v>13</v>
      </c>
      <c r="G317" s="4" t="s">
        <v>1385</v>
      </c>
      <c r="H317" s="4" t="s">
        <v>1386</v>
      </c>
      <c r="I317" s="4" t="n">
        <v>44</v>
      </c>
      <c r="J317" s="4" t="n">
        <v>23</v>
      </c>
      <c r="K317" s="4"/>
    </row>
    <row r="318" customFormat="false" ht="15" hidden="false" customHeight="false" outlineLevel="0" collapsed="false">
      <c r="A318" s="4" t="s">
        <v>1161</v>
      </c>
      <c r="B318" s="4" t="s">
        <v>1419</v>
      </c>
      <c r="C318" s="5" t="n">
        <v>14.93</v>
      </c>
      <c r="D318" s="4" t="s">
        <v>1404</v>
      </c>
      <c r="E318" s="5" t="n">
        <v>12.4</v>
      </c>
      <c r="F318" s="4" t="s">
        <v>13</v>
      </c>
      <c r="G318" s="4" t="s">
        <v>1385</v>
      </c>
      <c r="H318" s="4" t="s">
        <v>1386</v>
      </c>
      <c r="I318" s="4" t="n">
        <v>44</v>
      </c>
      <c r="J318" s="4" t="n">
        <v>23</v>
      </c>
      <c r="K318" s="4"/>
    </row>
    <row r="319" customFormat="false" ht="15" hidden="false" customHeight="false" outlineLevel="0" collapsed="false">
      <c r="A319" s="4" t="s">
        <v>1165</v>
      </c>
      <c r="B319" s="4" t="s">
        <v>1398</v>
      </c>
      <c r="C319" s="5" t="n">
        <v>19.75</v>
      </c>
      <c r="D319" s="4" t="s">
        <v>1420</v>
      </c>
      <c r="E319" s="5" t="n">
        <v>14.45</v>
      </c>
      <c r="F319" s="4" t="s">
        <v>13</v>
      </c>
      <c r="G319" s="4" t="s">
        <v>1385</v>
      </c>
      <c r="H319" s="4" t="s">
        <v>1386</v>
      </c>
      <c r="I319" s="4" t="n">
        <v>44</v>
      </c>
      <c r="J319" s="4" t="n">
        <v>23</v>
      </c>
      <c r="K319" s="4"/>
    </row>
    <row r="320" customFormat="false" ht="15" hidden="false" customHeight="false" outlineLevel="0" collapsed="false">
      <c r="A320" s="4" t="s">
        <v>1168</v>
      </c>
      <c r="B320" s="4" t="s">
        <v>1388</v>
      </c>
      <c r="C320" s="5" t="n">
        <v>125.771</v>
      </c>
      <c r="D320" s="4" t="s">
        <v>1413</v>
      </c>
      <c r="E320" s="5" t="n">
        <v>88.25</v>
      </c>
      <c r="F320" s="4" t="s">
        <v>13</v>
      </c>
      <c r="G320" s="4" t="s">
        <v>1385</v>
      </c>
      <c r="H320" s="4" t="s">
        <v>1386</v>
      </c>
      <c r="I320" s="4" t="n">
        <v>44</v>
      </c>
      <c r="J320" s="4" t="n">
        <v>23</v>
      </c>
      <c r="K320" s="4"/>
    </row>
    <row r="321" customFormat="false" ht="15" hidden="false" customHeight="false" outlineLevel="0" collapsed="false">
      <c r="A321" s="4" t="s">
        <v>1171</v>
      </c>
      <c r="B321" s="4" t="s">
        <v>1402</v>
      </c>
      <c r="C321" s="5" t="n">
        <v>42.592</v>
      </c>
      <c r="D321" s="4" t="s">
        <v>1384</v>
      </c>
      <c r="E321" s="5" t="n">
        <v>31.982</v>
      </c>
      <c r="F321" s="4" t="s">
        <v>13</v>
      </c>
      <c r="G321" s="4" t="s">
        <v>1385</v>
      </c>
      <c r="H321" s="4" t="s">
        <v>1386</v>
      </c>
      <c r="I321" s="4" t="n">
        <v>44</v>
      </c>
      <c r="J321" s="4" t="n">
        <v>23</v>
      </c>
      <c r="K321" s="4"/>
    </row>
    <row r="322" customFormat="false" ht="15" hidden="false" customHeight="false" outlineLevel="0" collapsed="false">
      <c r="A322" s="4" t="s">
        <v>1175</v>
      </c>
      <c r="B322" s="4" t="s">
        <v>1391</v>
      </c>
      <c r="C322" s="5" t="n">
        <v>18.54</v>
      </c>
      <c r="D322" s="4" t="s">
        <v>1384</v>
      </c>
      <c r="E322" s="5" t="n">
        <v>11.02</v>
      </c>
      <c r="F322" s="4" t="s">
        <v>13</v>
      </c>
      <c r="G322" s="4" t="s">
        <v>1385</v>
      </c>
      <c r="H322" s="4" t="s">
        <v>1386</v>
      </c>
      <c r="I322" s="4" t="n">
        <v>44</v>
      </c>
      <c r="J322" s="4" t="n">
        <v>23</v>
      </c>
      <c r="K322" s="4"/>
    </row>
    <row r="323" customFormat="false" ht="15" hidden="false" customHeight="false" outlineLevel="0" collapsed="false">
      <c r="A323" s="4" t="s">
        <v>1179</v>
      </c>
      <c r="B323" s="4" t="s">
        <v>1388</v>
      </c>
      <c r="C323" s="5" t="n">
        <v>15.18</v>
      </c>
      <c r="D323" s="4" t="s">
        <v>1384</v>
      </c>
      <c r="E323" s="5" t="n">
        <v>7.64</v>
      </c>
      <c r="F323" s="4" t="s">
        <v>13</v>
      </c>
      <c r="G323" s="4" t="s">
        <v>1385</v>
      </c>
      <c r="H323" s="4" t="s">
        <v>1386</v>
      </c>
      <c r="I323" s="4" t="n">
        <v>44</v>
      </c>
      <c r="J323" s="4" t="n">
        <v>23</v>
      </c>
      <c r="K323" s="4"/>
    </row>
    <row r="324" customFormat="false" ht="15" hidden="false" customHeight="false" outlineLevel="0" collapsed="false">
      <c r="A324" s="4" t="s">
        <v>1183</v>
      </c>
      <c r="B324" s="4" t="s">
        <v>1395</v>
      </c>
      <c r="C324" s="5" t="n">
        <v>9.26</v>
      </c>
      <c r="D324" s="4" t="s">
        <v>1384</v>
      </c>
      <c r="E324" s="5" t="n">
        <v>5.89</v>
      </c>
      <c r="F324" s="4" t="s">
        <v>13</v>
      </c>
      <c r="G324" s="4" t="s">
        <v>1385</v>
      </c>
      <c r="H324" s="4" t="s">
        <v>1386</v>
      </c>
      <c r="I324" s="4" t="n">
        <v>44</v>
      </c>
      <c r="J324" s="4" t="n">
        <v>23</v>
      </c>
      <c r="K324" s="4"/>
    </row>
    <row r="325" customFormat="false" ht="15" hidden="false" customHeight="false" outlineLevel="0" collapsed="false">
      <c r="A325" s="4" t="s">
        <v>1186</v>
      </c>
      <c r="B325" s="4" t="s">
        <v>1423</v>
      </c>
      <c r="C325" s="5" t="n">
        <v>49.42</v>
      </c>
      <c r="D325" s="4" t="s">
        <v>1389</v>
      </c>
      <c r="E325" s="5" t="n">
        <v>34.75</v>
      </c>
      <c r="F325" s="4" t="s">
        <v>13</v>
      </c>
      <c r="G325" s="4" t="s">
        <v>1385</v>
      </c>
      <c r="H325" s="4" t="s">
        <v>1386</v>
      </c>
      <c r="I325" s="4" t="n">
        <v>44</v>
      </c>
      <c r="J325" s="4" t="n">
        <v>23</v>
      </c>
      <c r="K325" s="4"/>
    </row>
    <row r="326" customFormat="false" ht="15" hidden="false" customHeight="false" outlineLevel="0" collapsed="false">
      <c r="A326" s="4" t="s">
        <v>1190</v>
      </c>
      <c r="B326" s="4" t="s">
        <v>1388</v>
      </c>
      <c r="C326" s="5" t="n">
        <v>8.29</v>
      </c>
      <c r="D326" s="4" t="s">
        <v>1426</v>
      </c>
      <c r="E326" s="5" t="n">
        <v>6.47</v>
      </c>
      <c r="F326" s="4" t="s">
        <v>13</v>
      </c>
      <c r="G326" s="4" t="s">
        <v>1385</v>
      </c>
      <c r="H326" s="4" t="s">
        <v>1386</v>
      </c>
      <c r="I326" s="4" t="n">
        <v>44</v>
      </c>
      <c r="J326" s="4" t="n">
        <v>23</v>
      </c>
      <c r="K326" s="4"/>
    </row>
    <row r="327" customFormat="false" ht="15" hidden="false" customHeight="false" outlineLevel="0" collapsed="false">
      <c r="A327" s="4" t="s">
        <v>1194</v>
      </c>
      <c r="B327" s="4" t="s">
        <v>1391</v>
      </c>
      <c r="C327" s="5" t="n">
        <v>269.14</v>
      </c>
      <c r="D327" s="4" t="s">
        <v>1422</v>
      </c>
      <c r="E327" s="5" t="n">
        <v>205.1</v>
      </c>
      <c r="F327" s="4" t="s">
        <v>13</v>
      </c>
      <c r="G327" s="4" t="s">
        <v>1385</v>
      </c>
      <c r="H327" s="4" t="s">
        <v>1386</v>
      </c>
      <c r="I327" s="4" t="n">
        <v>44</v>
      </c>
      <c r="J327" s="4" t="n">
        <v>23</v>
      </c>
      <c r="K327" s="4"/>
    </row>
    <row r="328" customFormat="false" ht="15" hidden="false" customHeight="false" outlineLevel="0" collapsed="false">
      <c r="A328" s="4" t="s">
        <v>1197</v>
      </c>
      <c r="B328" s="4" t="s">
        <v>1387</v>
      </c>
      <c r="C328" s="5" t="n">
        <v>109.5</v>
      </c>
      <c r="D328" s="4" t="s">
        <v>1427</v>
      </c>
      <c r="E328" s="5" t="n">
        <v>88.04</v>
      </c>
      <c r="F328" s="4" t="s">
        <v>13</v>
      </c>
      <c r="G328" s="4" t="s">
        <v>1385</v>
      </c>
      <c r="H328" s="4" t="s">
        <v>1386</v>
      </c>
      <c r="I328" s="4" t="n">
        <v>44</v>
      </c>
      <c r="J328" s="4" t="n">
        <v>23</v>
      </c>
      <c r="K328" s="4"/>
    </row>
    <row r="329" customFormat="false" ht="15" hidden="false" customHeight="false" outlineLevel="0" collapsed="false">
      <c r="A329" s="4" t="s">
        <v>1200</v>
      </c>
      <c r="B329" s="4" t="s">
        <v>1392</v>
      </c>
      <c r="C329" s="5" t="n">
        <v>1416.88</v>
      </c>
      <c r="D329" s="4" t="s">
        <v>1389</v>
      </c>
      <c r="E329" s="5" t="n">
        <v>793.03</v>
      </c>
      <c r="F329" s="4" t="s">
        <v>13</v>
      </c>
      <c r="G329" s="4" t="s">
        <v>1385</v>
      </c>
      <c r="H329" s="4" t="s">
        <v>1386</v>
      </c>
      <c r="I329" s="4" t="n">
        <v>44</v>
      </c>
      <c r="J329" s="4" t="n">
        <v>23</v>
      </c>
      <c r="K329" s="4"/>
    </row>
    <row r="330" customFormat="false" ht="15" hidden="false" customHeight="false" outlineLevel="0" collapsed="false">
      <c r="A330" s="4" t="s">
        <v>1203</v>
      </c>
      <c r="B330" s="4" t="s">
        <v>1388</v>
      </c>
      <c r="C330" s="5" t="n">
        <v>26.2</v>
      </c>
      <c r="D330" s="4" t="s">
        <v>1429</v>
      </c>
      <c r="E330" s="5" t="n">
        <v>18.6</v>
      </c>
      <c r="F330" s="4" t="s">
        <v>13</v>
      </c>
      <c r="G330" s="4" t="s">
        <v>1385</v>
      </c>
      <c r="H330" s="4" t="s">
        <v>1386</v>
      </c>
      <c r="I330" s="4" t="n">
        <v>44</v>
      </c>
      <c r="J330" s="4" t="n">
        <v>23</v>
      </c>
      <c r="K330" s="4"/>
    </row>
    <row r="331" customFormat="false" ht="15" hidden="false" customHeight="false" outlineLevel="0" collapsed="false">
      <c r="A331" s="4" t="s">
        <v>1207</v>
      </c>
      <c r="B331" s="4" t="s">
        <v>1425</v>
      </c>
      <c r="C331" s="5" t="n">
        <v>7.32</v>
      </c>
      <c r="D331" s="4" t="s">
        <v>1420</v>
      </c>
      <c r="E331" s="5" t="n">
        <v>4.95</v>
      </c>
      <c r="F331" s="4" t="s">
        <v>13</v>
      </c>
      <c r="G331" s="4" t="s">
        <v>1385</v>
      </c>
      <c r="H331" s="4" t="s">
        <v>1386</v>
      </c>
      <c r="I331" s="4" t="n">
        <v>44</v>
      </c>
      <c r="J331" s="4" t="n">
        <v>23</v>
      </c>
      <c r="K331" s="4"/>
    </row>
    <row r="332" customFormat="false" ht="15" hidden="false" customHeight="false" outlineLevel="0" collapsed="false">
      <c r="A332" s="4" t="s">
        <v>1211</v>
      </c>
      <c r="B332" s="4" t="s">
        <v>1388</v>
      </c>
      <c r="C332" s="5" t="n">
        <v>4.02</v>
      </c>
      <c r="D332" s="4" t="s">
        <v>1404</v>
      </c>
      <c r="E332" s="5" t="n">
        <v>3.1</v>
      </c>
      <c r="F332" s="4" t="s">
        <v>13</v>
      </c>
      <c r="G332" s="4" t="s">
        <v>1385</v>
      </c>
      <c r="H332" s="4" t="s">
        <v>1386</v>
      </c>
      <c r="I332" s="4" t="n">
        <v>44</v>
      </c>
      <c r="J332" s="4" t="n">
        <v>23</v>
      </c>
      <c r="K332" s="4"/>
    </row>
    <row r="333" customFormat="false" ht="15" hidden="false" customHeight="false" outlineLevel="0" collapsed="false">
      <c r="A333" s="4" t="s">
        <v>1215</v>
      </c>
      <c r="B333" s="4" t="s">
        <v>1396</v>
      </c>
      <c r="C333" s="5" t="n">
        <v>45.42</v>
      </c>
      <c r="D333" s="4" t="s">
        <v>1389</v>
      </c>
      <c r="E333" s="5" t="n">
        <v>34.87</v>
      </c>
      <c r="F333" s="4" t="s">
        <v>13</v>
      </c>
      <c r="G333" s="4" t="s">
        <v>1385</v>
      </c>
      <c r="H333" s="4" t="s">
        <v>1386</v>
      </c>
      <c r="I333" s="4" t="n">
        <v>44</v>
      </c>
      <c r="J333" s="4" t="n">
        <v>23</v>
      </c>
      <c r="K333" s="4"/>
    </row>
    <row r="334" customFormat="false" ht="15" hidden="false" customHeight="false" outlineLevel="0" collapsed="false">
      <c r="A334" s="4" t="s">
        <v>1219</v>
      </c>
      <c r="B334" s="4" t="s">
        <v>1395</v>
      </c>
      <c r="C334" s="5" t="n">
        <v>34.88</v>
      </c>
      <c r="D334" s="4" t="s">
        <v>1424</v>
      </c>
      <c r="E334" s="5" t="n">
        <v>24.1</v>
      </c>
      <c r="F334" s="4" t="s">
        <v>13</v>
      </c>
      <c r="G334" s="4" t="s">
        <v>1385</v>
      </c>
      <c r="H334" s="4" t="s">
        <v>1386</v>
      </c>
      <c r="I334" s="4" t="n">
        <v>44</v>
      </c>
      <c r="J334" s="4" t="n">
        <v>23</v>
      </c>
      <c r="K334" s="4"/>
    </row>
    <row r="335" customFormat="false" ht="15" hidden="false" customHeight="false" outlineLevel="0" collapsed="false">
      <c r="A335" s="4" t="s">
        <v>1222</v>
      </c>
      <c r="B335" s="4" t="s">
        <v>1400</v>
      </c>
      <c r="C335" s="5" t="n">
        <v>23.93</v>
      </c>
      <c r="D335" s="4" t="s">
        <v>1384</v>
      </c>
      <c r="E335" s="5" t="n">
        <v>15.83</v>
      </c>
      <c r="F335" s="4" t="s">
        <v>13</v>
      </c>
      <c r="G335" s="4" t="s">
        <v>1385</v>
      </c>
      <c r="H335" s="4" t="s">
        <v>1386</v>
      </c>
      <c r="I335" s="4" t="n">
        <v>44</v>
      </c>
      <c r="J335" s="4" t="n">
        <v>23</v>
      </c>
      <c r="K335" s="4"/>
    </row>
    <row r="336" customFormat="false" ht="15" hidden="false" customHeight="false" outlineLevel="0" collapsed="false">
      <c r="A336" s="4" t="s">
        <v>1226</v>
      </c>
      <c r="B336" s="4" t="s">
        <v>1391</v>
      </c>
      <c r="C336" s="5" t="n">
        <v>458.98</v>
      </c>
      <c r="D336" s="4" t="s">
        <v>1424</v>
      </c>
      <c r="E336" s="5" t="n">
        <v>300.01</v>
      </c>
      <c r="F336" s="4" t="s">
        <v>13</v>
      </c>
      <c r="G336" s="4" t="s">
        <v>1385</v>
      </c>
      <c r="H336" s="4" t="s">
        <v>1386</v>
      </c>
      <c r="I336" s="4" t="n">
        <v>44</v>
      </c>
      <c r="J336" s="4" t="n">
        <v>23</v>
      </c>
      <c r="K336" s="4"/>
    </row>
    <row r="337" customFormat="false" ht="15" hidden="false" customHeight="false" outlineLevel="0" collapsed="false">
      <c r="A337" s="4" t="s">
        <v>1230</v>
      </c>
      <c r="B337" s="4" t="s">
        <v>1392</v>
      </c>
      <c r="C337" s="5" t="n">
        <v>70.44</v>
      </c>
      <c r="D337" s="4" t="s">
        <v>1424</v>
      </c>
      <c r="E337" s="5" t="n">
        <v>49.4</v>
      </c>
      <c r="F337" s="4" t="s">
        <v>13</v>
      </c>
      <c r="G337" s="4" t="s">
        <v>1385</v>
      </c>
      <c r="H337" s="4" t="s">
        <v>1386</v>
      </c>
      <c r="I337" s="4" t="n">
        <v>44</v>
      </c>
      <c r="J337" s="4" t="n">
        <v>23</v>
      </c>
      <c r="K337" s="4"/>
    </row>
    <row r="338" customFormat="false" ht="15" hidden="false" customHeight="false" outlineLevel="0" collapsed="false">
      <c r="A338" s="4" t="s">
        <v>1234</v>
      </c>
      <c r="B338" s="4" t="s">
        <v>1402</v>
      </c>
      <c r="C338" s="5" t="n">
        <v>65.48</v>
      </c>
      <c r="D338" s="4" t="s">
        <v>1424</v>
      </c>
      <c r="E338" s="5" t="n">
        <v>48.05</v>
      </c>
      <c r="F338" s="4" t="s">
        <v>13</v>
      </c>
      <c r="G338" s="4" t="s">
        <v>1385</v>
      </c>
      <c r="H338" s="4" t="s">
        <v>1386</v>
      </c>
      <c r="I338" s="4" t="n">
        <v>44</v>
      </c>
      <c r="J338" s="4" t="n">
        <v>23</v>
      </c>
      <c r="K338" s="4"/>
    </row>
    <row r="339" customFormat="false" ht="15" hidden="false" customHeight="false" outlineLevel="0" collapsed="false">
      <c r="A339" s="4" t="s">
        <v>1238</v>
      </c>
      <c r="B339" s="4" t="s">
        <v>1417</v>
      </c>
      <c r="C339" s="5" t="n">
        <v>23.55</v>
      </c>
      <c r="D339" s="4" t="s">
        <v>1420</v>
      </c>
      <c r="E339" s="5" t="n">
        <v>18.51</v>
      </c>
      <c r="F339" s="4" t="s">
        <v>13</v>
      </c>
      <c r="G339" s="4" t="s">
        <v>1385</v>
      </c>
      <c r="H339" s="4" t="s">
        <v>1386</v>
      </c>
      <c r="I339" s="4" t="n">
        <v>44</v>
      </c>
      <c r="J339" s="4" t="n">
        <v>23</v>
      </c>
      <c r="K339" s="4"/>
    </row>
    <row r="340" customFormat="false" ht="15" hidden="false" customHeight="false" outlineLevel="0" collapsed="false">
      <c r="A340" s="4" t="s">
        <v>1241</v>
      </c>
      <c r="B340" s="4" t="s">
        <v>1388</v>
      </c>
      <c r="C340" s="5" t="n">
        <v>42.96</v>
      </c>
      <c r="D340" s="4" t="s">
        <v>1426</v>
      </c>
      <c r="E340" s="5" t="n">
        <v>33.8</v>
      </c>
      <c r="F340" s="4" t="s">
        <v>13</v>
      </c>
      <c r="G340" s="4" t="s">
        <v>1385</v>
      </c>
      <c r="H340" s="4" t="s">
        <v>1386</v>
      </c>
      <c r="I340" s="4" t="n">
        <v>44</v>
      </c>
      <c r="J340" s="4" t="n">
        <v>23</v>
      </c>
      <c r="K340" s="4"/>
    </row>
    <row r="341" customFormat="false" ht="15" hidden="false" customHeight="false" outlineLevel="0" collapsed="false">
      <c r="A341" s="4" t="s">
        <v>1245</v>
      </c>
      <c r="B341" s="4" t="s">
        <v>1402</v>
      </c>
      <c r="C341" s="5" t="n">
        <v>374.85</v>
      </c>
      <c r="D341" s="4" t="s">
        <v>1384</v>
      </c>
      <c r="E341" s="5" t="n">
        <v>216</v>
      </c>
      <c r="F341" s="4" t="s">
        <v>13</v>
      </c>
      <c r="G341" s="4" t="s">
        <v>1385</v>
      </c>
      <c r="H341" s="4" t="s">
        <v>1386</v>
      </c>
      <c r="I341" s="4" t="n">
        <v>44</v>
      </c>
      <c r="J341" s="4" t="n">
        <v>23</v>
      </c>
      <c r="K341" s="4"/>
    </row>
    <row r="342" customFormat="false" ht="15" hidden="false" customHeight="false" outlineLevel="0" collapsed="false">
      <c r="A342" s="4" t="s">
        <v>1249</v>
      </c>
      <c r="B342" s="4" t="s">
        <v>1395</v>
      </c>
      <c r="C342" s="5" t="n">
        <v>77.63</v>
      </c>
      <c r="D342" s="4" t="s">
        <v>1424</v>
      </c>
      <c r="E342" s="5" t="n">
        <v>57.32</v>
      </c>
      <c r="F342" s="4" t="s">
        <v>13</v>
      </c>
      <c r="G342" s="4" t="s">
        <v>1385</v>
      </c>
      <c r="H342" s="4" t="s">
        <v>1386</v>
      </c>
      <c r="I342" s="4" t="n">
        <v>44</v>
      </c>
      <c r="J342" s="4" t="n">
        <v>23</v>
      </c>
      <c r="K342" s="4"/>
    </row>
    <row r="343" customFormat="false" ht="15" hidden="false" customHeight="false" outlineLevel="0" collapsed="false">
      <c r="A343" s="4" t="s">
        <v>1253</v>
      </c>
      <c r="B343" s="4" t="s">
        <v>1388</v>
      </c>
      <c r="C343" s="5" t="n">
        <v>27.98</v>
      </c>
      <c r="D343" s="4" t="s">
        <v>1406</v>
      </c>
      <c r="E343" s="5" t="n">
        <v>20.22</v>
      </c>
      <c r="F343" s="4" t="s">
        <v>13</v>
      </c>
      <c r="G343" s="4" t="s">
        <v>1385</v>
      </c>
      <c r="H343" s="4" t="s">
        <v>1386</v>
      </c>
      <c r="I343" s="4" t="n">
        <v>44</v>
      </c>
      <c r="J343" s="4" t="n">
        <v>23</v>
      </c>
      <c r="K343" s="4"/>
    </row>
    <row r="344" customFormat="false" ht="15" hidden="false" customHeight="false" outlineLevel="0" collapsed="false">
      <c r="A344" s="4" t="s">
        <v>1256</v>
      </c>
      <c r="B344" s="4" t="s">
        <v>1405</v>
      </c>
      <c r="C344" s="5" t="n">
        <v>7.89</v>
      </c>
      <c r="D344" s="4" t="s">
        <v>1413</v>
      </c>
      <c r="E344" s="5" t="n">
        <v>5.36</v>
      </c>
      <c r="F344" s="4" t="s">
        <v>13</v>
      </c>
      <c r="G344" s="4" t="s">
        <v>1385</v>
      </c>
      <c r="H344" s="4" t="s">
        <v>1386</v>
      </c>
      <c r="I344" s="4" t="n">
        <v>44</v>
      </c>
      <c r="J344" s="4" t="n">
        <v>23</v>
      </c>
      <c r="K344" s="4"/>
    </row>
    <row r="345" customFormat="false" ht="15" hidden="false" customHeight="false" outlineLevel="0" collapsed="false">
      <c r="A345" s="4" t="s">
        <v>1260</v>
      </c>
      <c r="B345" s="4" t="s">
        <v>1388</v>
      </c>
      <c r="C345" s="5" t="n">
        <v>37.7</v>
      </c>
      <c r="D345" s="4" t="s">
        <v>1420</v>
      </c>
      <c r="E345" s="5" t="n">
        <v>27.18</v>
      </c>
      <c r="F345" s="4" t="s">
        <v>13</v>
      </c>
      <c r="G345" s="4" t="s">
        <v>1385</v>
      </c>
      <c r="H345" s="4" t="s">
        <v>1386</v>
      </c>
      <c r="I345" s="4" t="n">
        <v>44</v>
      </c>
      <c r="J345" s="4" t="n">
        <v>23</v>
      </c>
      <c r="K345" s="4"/>
    </row>
    <row r="346" customFormat="false" ht="15" hidden="false" customHeight="false" outlineLevel="0" collapsed="false">
      <c r="A346" s="4" t="s">
        <v>1263</v>
      </c>
      <c r="B346" s="4" t="s">
        <v>1427</v>
      </c>
      <c r="C346" s="5" t="n">
        <v>91.88</v>
      </c>
      <c r="D346" s="4" t="s">
        <v>1423</v>
      </c>
      <c r="E346" s="5" t="n">
        <v>65.67</v>
      </c>
      <c r="F346" s="4" t="s">
        <v>13</v>
      </c>
      <c r="G346" s="4" t="s">
        <v>1385</v>
      </c>
      <c r="H346" s="4" t="s">
        <v>1386</v>
      </c>
      <c r="I346" s="4" t="n">
        <v>44</v>
      </c>
      <c r="J346" s="4" t="n">
        <v>23</v>
      </c>
      <c r="K346" s="4"/>
    </row>
    <row r="347" customFormat="false" ht="15" hidden="false" customHeight="false" outlineLevel="0" collapsed="false">
      <c r="A347" s="4" t="s">
        <v>1267</v>
      </c>
      <c r="B347" s="4" t="s">
        <v>1388</v>
      </c>
      <c r="C347" s="5" t="n">
        <v>23.727</v>
      </c>
      <c r="D347" s="4" t="s">
        <v>1420</v>
      </c>
      <c r="E347" s="5" t="n">
        <v>16.66</v>
      </c>
      <c r="F347" s="4" t="s">
        <v>13</v>
      </c>
      <c r="G347" s="4" t="s">
        <v>1385</v>
      </c>
      <c r="H347" s="4" t="s">
        <v>1386</v>
      </c>
      <c r="I347" s="4" t="n">
        <v>44</v>
      </c>
      <c r="J347" s="4" t="n">
        <v>23</v>
      </c>
      <c r="K347" s="4"/>
    </row>
    <row r="348" customFormat="false" ht="15" hidden="false" customHeight="false" outlineLevel="0" collapsed="false">
      <c r="A348" s="4" t="s">
        <v>1271</v>
      </c>
      <c r="B348" s="4" t="s">
        <v>1431</v>
      </c>
      <c r="C348" s="5" t="n">
        <v>9.29</v>
      </c>
      <c r="D348" s="4" t="s">
        <v>1426</v>
      </c>
      <c r="E348" s="5" t="n">
        <v>7.33</v>
      </c>
      <c r="F348" s="4" t="s">
        <v>13</v>
      </c>
      <c r="G348" s="4" t="s">
        <v>1385</v>
      </c>
      <c r="H348" s="4" t="s">
        <v>1386</v>
      </c>
      <c r="I348" s="4" t="n">
        <v>44</v>
      </c>
      <c r="J348" s="4" t="n">
        <v>23</v>
      </c>
      <c r="K348" s="4"/>
    </row>
    <row r="349" customFormat="false" ht="15" hidden="false" customHeight="false" outlineLevel="0" collapsed="false">
      <c r="A349" s="4" t="s">
        <v>1275</v>
      </c>
      <c r="B349" s="4" t="s">
        <v>1388</v>
      </c>
      <c r="C349" s="5" t="n">
        <v>29.226</v>
      </c>
      <c r="D349" s="4" t="s">
        <v>1420</v>
      </c>
      <c r="E349" s="5" t="n">
        <v>23.3</v>
      </c>
      <c r="F349" s="4" t="s">
        <v>13</v>
      </c>
      <c r="G349" s="4" t="s">
        <v>1385</v>
      </c>
      <c r="H349" s="4" t="s">
        <v>1386</v>
      </c>
      <c r="I349" s="4" t="n">
        <v>44</v>
      </c>
      <c r="J349" s="4" t="n">
        <v>23</v>
      </c>
      <c r="K349" s="4"/>
    </row>
    <row r="350" customFormat="false" ht="15" hidden="false" customHeight="false" outlineLevel="0" collapsed="false">
      <c r="A350" s="4" t="s">
        <v>1279</v>
      </c>
      <c r="B350" s="4" t="s">
        <v>1391</v>
      </c>
      <c r="C350" s="5" t="n">
        <v>14.64</v>
      </c>
      <c r="D350" s="4" t="s">
        <v>1420</v>
      </c>
      <c r="E350" s="5" t="n">
        <v>11.8</v>
      </c>
      <c r="F350" s="4" t="s">
        <v>13</v>
      </c>
      <c r="G350" s="4" t="s">
        <v>1385</v>
      </c>
      <c r="H350" s="4" t="s">
        <v>1386</v>
      </c>
      <c r="I350" s="4" t="n">
        <v>44</v>
      </c>
      <c r="J350" s="4" t="n">
        <v>23</v>
      </c>
      <c r="K350" s="4"/>
    </row>
    <row r="351" customFormat="false" ht="15" hidden="false" customHeight="false" outlineLevel="0" collapsed="false">
      <c r="A351" s="4" t="s">
        <v>1283</v>
      </c>
      <c r="B351" s="4" t="s">
        <v>1393</v>
      </c>
      <c r="C351" s="5" t="n">
        <v>123.209</v>
      </c>
      <c r="D351" s="4" t="s">
        <v>1424</v>
      </c>
      <c r="E351" s="5" t="n">
        <v>88.5</v>
      </c>
      <c r="F351" s="4" t="s">
        <v>13</v>
      </c>
      <c r="G351" s="4" t="s">
        <v>1385</v>
      </c>
      <c r="H351" s="4" t="s">
        <v>1386</v>
      </c>
      <c r="I351" s="4" t="n">
        <v>44</v>
      </c>
      <c r="J351" s="4" t="n">
        <v>23</v>
      </c>
      <c r="K351" s="4"/>
    </row>
    <row r="352" customFormat="false" ht="15" hidden="false" customHeight="false" outlineLevel="0" collapsed="false">
      <c r="A352" s="4" t="s">
        <v>1286</v>
      </c>
      <c r="B352" s="4" t="s">
        <v>1427</v>
      </c>
      <c r="C352" s="5" t="n">
        <v>139.47</v>
      </c>
      <c r="D352" s="4" t="s">
        <v>1387</v>
      </c>
      <c r="E352" s="5" t="n">
        <v>82.84</v>
      </c>
      <c r="F352" s="4" t="s">
        <v>13</v>
      </c>
      <c r="G352" s="4" t="s">
        <v>1385</v>
      </c>
      <c r="H352" s="4" t="s">
        <v>1386</v>
      </c>
      <c r="I352" s="4" t="n">
        <v>44</v>
      </c>
      <c r="J352" s="4" t="n">
        <v>23</v>
      </c>
      <c r="K352" s="4"/>
    </row>
    <row r="353" customFormat="false" ht="15" hidden="false" customHeight="false" outlineLevel="0" collapsed="false">
      <c r="A353" s="4" t="s">
        <v>1290</v>
      </c>
      <c r="B353" s="4" t="s">
        <v>1400</v>
      </c>
      <c r="C353" s="5" t="n">
        <v>60.26</v>
      </c>
      <c r="D353" s="4" t="s">
        <v>1384</v>
      </c>
      <c r="E353" s="5" t="n">
        <v>38.23</v>
      </c>
      <c r="F353" s="4" t="s">
        <v>13</v>
      </c>
      <c r="G353" s="4" t="s">
        <v>1385</v>
      </c>
      <c r="H353" s="4" t="s">
        <v>1386</v>
      </c>
      <c r="I353" s="4" t="n">
        <v>44</v>
      </c>
      <c r="J353" s="4" t="n">
        <v>23</v>
      </c>
      <c r="K353" s="4"/>
    </row>
    <row r="354" customFormat="false" ht="15" hidden="false" customHeight="false" outlineLevel="0" collapsed="false">
      <c r="A354" s="4" t="s">
        <v>1293</v>
      </c>
      <c r="B354" s="4" t="s">
        <v>1388</v>
      </c>
      <c r="C354" s="5" t="n">
        <v>27.069</v>
      </c>
      <c r="D354" s="4" t="s">
        <v>1420</v>
      </c>
      <c r="E354" s="5" t="n">
        <v>19.37</v>
      </c>
      <c r="F354" s="4" t="s">
        <v>13</v>
      </c>
      <c r="G354" s="4" t="s">
        <v>1385</v>
      </c>
      <c r="H354" s="4" t="s">
        <v>1386</v>
      </c>
      <c r="I354" s="4" t="n">
        <v>44</v>
      </c>
      <c r="J354" s="4" t="n">
        <v>23</v>
      </c>
      <c r="K354" s="4"/>
    </row>
    <row r="355" customFormat="false" ht="15" hidden="false" customHeight="false" outlineLevel="0" collapsed="false">
      <c r="A355" s="4" t="s">
        <v>1297</v>
      </c>
      <c r="B355" s="4" t="s">
        <v>1419</v>
      </c>
      <c r="C355" s="5" t="n">
        <v>308.99</v>
      </c>
      <c r="D355" s="4" t="s">
        <v>1426</v>
      </c>
      <c r="E355" s="5" t="n">
        <v>202.4</v>
      </c>
      <c r="F355" s="4" t="s">
        <v>13</v>
      </c>
      <c r="G355" s="4" t="s">
        <v>1385</v>
      </c>
      <c r="H355" s="4" t="s">
        <v>1386</v>
      </c>
      <c r="I355" s="4" t="n">
        <v>44</v>
      </c>
      <c r="J355" s="4" t="n">
        <v>23</v>
      </c>
      <c r="K355" s="4"/>
    </row>
    <row r="356" customFormat="false" ht="15" hidden="false" customHeight="false" outlineLevel="0" collapsed="false">
      <c r="A356" s="4" t="s">
        <v>1300</v>
      </c>
      <c r="B356" s="4" t="s">
        <v>1402</v>
      </c>
      <c r="C356" s="5" t="n">
        <v>108.55</v>
      </c>
      <c r="D356" s="4" t="s">
        <v>1424</v>
      </c>
      <c r="E356" s="5" t="n">
        <v>81.1</v>
      </c>
      <c r="F356" s="4" t="s">
        <v>13</v>
      </c>
      <c r="G356" s="4" t="s">
        <v>1385</v>
      </c>
      <c r="H356" s="4" t="s">
        <v>1386</v>
      </c>
      <c r="I356" s="4" t="n">
        <v>44</v>
      </c>
      <c r="J356" s="4" t="n">
        <v>23</v>
      </c>
      <c r="K356" s="4"/>
    </row>
    <row r="357" customFormat="false" ht="15" hidden="false" customHeight="false" outlineLevel="0" collapsed="false">
      <c r="A357" s="4" t="s">
        <v>1303</v>
      </c>
      <c r="B357" s="4" t="s">
        <v>1388</v>
      </c>
      <c r="C357" s="5" t="n">
        <v>28.58</v>
      </c>
      <c r="D357" s="4" t="s">
        <v>1404</v>
      </c>
      <c r="E357" s="5" t="n">
        <v>22.89</v>
      </c>
      <c r="F357" s="4" t="s">
        <v>1408</v>
      </c>
      <c r="G357" s="4" t="s">
        <v>1385</v>
      </c>
      <c r="H357" s="4" t="s">
        <v>1409</v>
      </c>
      <c r="I357" s="4" t="n">
        <v>44</v>
      </c>
      <c r="J357" s="4" t="n">
        <v>23</v>
      </c>
      <c r="K357" s="4" t="s">
        <v>1410</v>
      </c>
    </row>
    <row r="358" customFormat="false" ht="15" hidden="false" customHeight="false" outlineLevel="0" collapsed="false">
      <c r="A358" s="4" t="s">
        <v>1306</v>
      </c>
      <c r="B358" s="4" t="s">
        <v>1423</v>
      </c>
      <c r="C358" s="5" t="n">
        <v>40.41</v>
      </c>
      <c r="D358" s="4" t="s">
        <v>1424</v>
      </c>
      <c r="E358" s="5" t="n">
        <v>31.16</v>
      </c>
      <c r="F358" s="4" t="s">
        <v>13</v>
      </c>
      <c r="G358" s="4" t="s">
        <v>1385</v>
      </c>
      <c r="H358" s="4" t="s">
        <v>1386</v>
      </c>
      <c r="I358" s="4" t="n">
        <v>44</v>
      </c>
      <c r="J358" s="4" t="n">
        <v>23</v>
      </c>
      <c r="K358" s="4"/>
    </row>
    <row r="359" customFormat="false" ht="15" hidden="false" customHeight="false" outlineLevel="0" collapsed="false">
      <c r="A359" s="4" t="s">
        <v>1310</v>
      </c>
      <c r="B359" s="4" t="s">
        <v>1411</v>
      </c>
      <c r="C359" s="5" t="n">
        <v>198.8</v>
      </c>
      <c r="D359" s="4" t="s">
        <v>1424</v>
      </c>
      <c r="E359" s="5" t="n">
        <v>119</v>
      </c>
      <c r="F359" s="4" t="s">
        <v>13</v>
      </c>
      <c r="G359" s="4" t="s">
        <v>1385</v>
      </c>
      <c r="H359" s="4" t="s">
        <v>1386</v>
      </c>
      <c r="I359" s="4" t="n">
        <v>44</v>
      </c>
      <c r="J359" s="4" t="n">
        <v>23</v>
      </c>
      <c r="K359" s="4"/>
    </row>
    <row r="360" customFormat="false" ht="15" hidden="false" customHeight="false" outlineLevel="0" collapsed="false">
      <c r="A360" s="4" t="s">
        <v>1313</v>
      </c>
      <c r="B360" s="4" t="s">
        <v>1400</v>
      </c>
      <c r="C360" s="5" t="n">
        <v>77.861</v>
      </c>
      <c r="D360" s="4" t="s">
        <v>1424</v>
      </c>
      <c r="E360" s="5" t="n">
        <v>55.03</v>
      </c>
      <c r="F360" s="4" t="s">
        <v>13</v>
      </c>
      <c r="G360" s="4" t="s">
        <v>1385</v>
      </c>
      <c r="H360" s="4" t="s">
        <v>1386</v>
      </c>
      <c r="I360" s="4" t="n">
        <v>44</v>
      </c>
      <c r="J360" s="4" t="n">
        <v>23</v>
      </c>
      <c r="K360" s="4"/>
    </row>
    <row r="361" customFormat="false" ht="15" hidden="false" customHeight="false" outlineLevel="0" collapsed="false">
      <c r="A361" s="4" t="s">
        <v>1316</v>
      </c>
      <c r="B361" s="4" t="s">
        <v>1388</v>
      </c>
      <c r="C361" s="5" t="n">
        <v>24.988</v>
      </c>
      <c r="D361" s="4" t="s">
        <v>1406</v>
      </c>
      <c r="E361" s="5" t="n">
        <v>21.26</v>
      </c>
      <c r="F361" s="4" t="s">
        <v>13</v>
      </c>
      <c r="G361" s="4" t="s">
        <v>1385</v>
      </c>
      <c r="H361" s="4" t="s">
        <v>1386</v>
      </c>
      <c r="I361" s="4" t="n">
        <v>44</v>
      </c>
      <c r="J361" s="4" t="n">
        <v>23</v>
      </c>
      <c r="K361" s="4"/>
    </row>
    <row r="362" customFormat="false" ht="15" hidden="false" customHeight="false" outlineLevel="0" collapsed="false">
      <c r="A362" s="4" t="s">
        <v>1319</v>
      </c>
      <c r="B362" s="4" t="s">
        <v>1388</v>
      </c>
      <c r="C362" s="5" t="n">
        <v>15.1</v>
      </c>
      <c r="D362" s="4" t="s">
        <v>1424</v>
      </c>
      <c r="E362" s="5" t="n">
        <v>8.53</v>
      </c>
      <c r="F362" s="4" t="s">
        <v>13</v>
      </c>
      <c r="G362" s="4" t="s">
        <v>1385</v>
      </c>
      <c r="H362" s="4" t="s">
        <v>1386</v>
      </c>
      <c r="I362" s="4" t="n">
        <v>44</v>
      </c>
      <c r="J362" s="4" t="n">
        <v>23</v>
      </c>
      <c r="K362" s="4"/>
    </row>
    <row r="363" customFormat="false" ht="15" hidden="false" customHeight="false" outlineLevel="0" collapsed="false">
      <c r="A363" s="4" t="s">
        <v>1323</v>
      </c>
      <c r="B363" s="4" t="s">
        <v>1400</v>
      </c>
      <c r="C363" s="5" t="n">
        <v>1.54</v>
      </c>
      <c r="D363" s="4" t="s">
        <v>1432</v>
      </c>
      <c r="E363" s="5" t="n">
        <v>0.72</v>
      </c>
      <c r="F363" s="4" t="s">
        <v>13</v>
      </c>
      <c r="G363" s="4" t="s">
        <v>1385</v>
      </c>
      <c r="H363" s="4" t="s">
        <v>1386</v>
      </c>
      <c r="I363" s="4" t="n">
        <v>44</v>
      </c>
      <c r="J363" s="4" t="n">
        <v>23</v>
      </c>
      <c r="K363" s="4"/>
    </row>
    <row r="364" customFormat="false" ht="15" hidden="false" customHeight="false" outlineLevel="0" collapsed="false">
      <c r="A364" s="4" t="s">
        <v>1327</v>
      </c>
      <c r="B364" s="4" t="s">
        <v>1412</v>
      </c>
      <c r="C364" s="5" t="n">
        <v>289.3</v>
      </c>
      <c r="D364" s="4" t="s">
        <v>1413</v>
      </c>
      <c r="E364" s="5" t="n">
        <v>205.1</v>
      </c>
      <c r="F364" s="4" t="s">
        <v>13</v>
      </c>
      <c r="G364" s="4" t="s">
        <v>1385</v>
      </c>
      <c r="H364" s="4" t="s">
        <v>1386</v>
      </c>
      <c r="I364" s="4" t="n">
        <v>44</v>
      </c>
      <c r="J364" s="4" t="n">
        <v>23</v>
      </c>
      <c r="K364" s="4"/>
    </row>
    <row r="365" customFormat="false" ht="15" hidden="false" customHeight="false" outlineLevel="0" collapsed="false">
      <c r="A365" s="4" t="s">
        <v>1331</v>
      </c>
      <c r="B365" s="4" t="s">
        <v>1419</v>
      </c>
      <c r="C365" s="5" t="n">
        <v>20.88</v>
      </c>
      <c r="D365" s="4" t="s">
        <v>1426</v>
      </c>
      <c r="E365" s="5" t="n">
        <v>17.14</v>
      </c>
      <c r="F365" s="4" t="s">
        <v>13</v>
      </c>
      <c r="G365" s="4" t="s">
        <v>1385</v>
      </c>
      <c r="H365" s="4" t="s">
        <v>1386</v>
      </c>
      <c r="I365" s="4" t="n">
        <v>44</v>
      </c>
      <c r="J365" s="4" t="n">
        <v>23</v>
      </c>
      <c r="K365" s="4"/>
    </row>
    <row r="366" customFormat="false" ht="15" hidden="false" customHeight="false" outlineLevel="0" collapsed="false">
      <c r="A366" s="4" t="s">
        <v>1335</v>
      </c>
      <c r="B366" s="4" t="s">
        <v>1388</v>
      </c>
      <c r="C366" s="5" t="n">
        <v>15.46</v>
      </c>
      <c r="D366" s="4" t="s">
        <v>1413</v>
      </c>
      <c r="E366" s="5" t="n">
        <v>12.34</v>
      </c>
      <c r="F366" s="4" t="s">
        <v>13</v>
      </c>
      <c r="G366" s="4" t="s">
        <v>1385</v>
      </c>
      <c r="H366" s="4" t="s">
        <v>1386</v>
      </c>
      <c r="I366" s="4" t="n">
        <v>44</v>
      </c>
      <c r="J366" s="4" t="n">
        <v>23</v>
      </c>
      <c r="K366" s="4"/>
    </row>
    <row r="367" customFormat="false" ht="15" hidden="false" customHeight="false" outlineLevel="0" collapsed="false">
      <c r="A367" s="4" t="s">
        <v>1339</v>
      </c>
      <c r="B367" s="4" t="s">
        <v>1388</v>
      </c>
      <c r="C367" s="5" t="n">
        <v>438.24</v>
      </c>
      <c r="D367" s="4" t="s">
        <v>1402</v>
      </c>
      <c r="E367" s="5" t="n">
        <v>346.16</v>
      </c>
      <c r="F367" s="4" t="s">
        <v>13</v>
      </c>
      <c r="G367" s="4" t="s">
        <v>1385</v>
      </c>
      <c r="H367" s="4" t="s">
        <v>1386</v>
      </c>
      <c r="I367" s="4" t="n">
        <v>44</v>
      </c>
      <c r="J367" s="4" t="n">
        <v>23</v>
      </c>
      <c r="K367" s="4"/>
    </row>
    <row r="368" customFormat="false" ht="15" hidden="false" customHeight="false" outlineLevel="0" collapsed="false">
      <c r="A368" s="4" t="s">
        <v>1343</v>
      </c>
      <c r="B368" s="4" t="s">
        <v>1397</v>
      </c>
      <c r="C368" s="5" t="n">
        <v>23.18</v>
      </c>
      <c r="D368" s="4" t="s">
        <v>1424</v>
      </c>
      <c r="E368" s="5" t="n">
        <v>13.05</v>
      </c>
      <c r="F368" s="4" t="s">
        <v>13</v>
      </c>
      <c r="G368" s="4" t="s">
        <v>1385</v>
      </c>
      <c r="H368" s="4" t="s">
        <v>1386</v>
      </c>
      <c r="I368" s="4" t="n">
        <v>44</v>
      </c>
      <c r="J368" s="4" t="n">
        <v>23</v>
      </c>
      <c r="K368" s="4"/>
    </row>
    <row r="369" customFormat="false" ht="15" hidden="false" customHeight="false" outlineLevel="0" collapsed="false">
      <c r="A369" s="4" t="s">
        <v>1347</v>
      </c>
      <c r="B369" s="4" t="s">
        <v>1424</v>
      </c>
      <c r="C369" s="5" t="n">
        <v>119.85</v>
      </c>
      <c r="D369" s="4" t="s">
        <v>1391</v>
      </c>
      <c r="E369" s="5" t="n">
        <v>99.62</v>
      </c>
      <c r="F369" s="4" t="s">
        <v>13</v>
      </c>
      <c r="G369" s="4" t="s">
        <v>1385</v>
      </c>
      <c r="H369" s="4" t="s">
        <v>1386</v>
      </c>
      <c r="I369" s="4" t="n">
        <v>44</v>
      </c>
      <c r="J369" s="4" t="n">
        <v>23</v>
      </c>
      <c r="K369" s="4"/>
    </row>
    <row r="370" customFormat="false" ht="15" hidden="false" customHeight="false" outlineLevel="0" collapsed="false">
      <c r="A370" s="4" t="s">
        <v>1351</v>
      </c>
      <c r="B370" s="4" t="s">
        <v>1388</v>
      </c>
      <c r="C370" s="5" t="n">
        <v>23.39</v>
      </c>
      <c r="D370" s="4" t="s">
        <v>1424</v>
      </c>
      <c r="E370" s="5" t="n">
        <v>16.01</v>
      </c>
      <c r="F370" s="4" t="s">
        <v>13</v>
      </c>
      <c r="G370" s="4" t="s">
        <v>1385</v>
      </c>
      <c r="H370" s="4" t="s">
        <v>1386</v>
      </c>
      <c r="I370" s="4" t="n">
        <v>44</v>
      </c>
      <c r="J370" s="4" t="n">
        <v>23</v>
      </c>
      <c r="K370" s="4"/>
    </row>
    <row r="371" customFormat="false" ht="15" hidden="false" customHeight="false" outlineLevel="0" collapsed="false">
      <c r="A371" s="4" t="s">
        <v>1354</v>
      </c>
      <c r="B371" s="4" t="s">
        <v>1414</v>
      </c>
      <c r="C371" s="5" t="n">
        <v>14.34</v>
      </c>
      <c r="D371" s="4" t="s">
        <v>1384</v>
      </c>
      <c r="E371" s="5" t="n">
        <v>6.43</v>
      </c>
      <c r="F371" s="4" t="s">
        <v>13</v>
      </c>
      <c r="G371" s="4" t="s">
        <v>1385</v>
      </c>
      <c r="H371" s="4" t="s">
        <v>1386</v>
      </c>
      <c r="I371" s="4" t="n">
        <v>44</v>
      </c>
      <c r="J371" s="4" t="n">
        <v>23</v>
      </c>
      <c r="K371" s="4"/>
    </row>
    <row r="372" customFormat="false" ht="15" hidden="false" customHeight="false" outlineLevel="0" collapsed="false">
      <c r="A372" s="4" t="s">
        <v>1357</v>
      </c>
      <c r="B372" s="4" t="s">
        <v>1423</v>
      </c>
      <c r="C372" s="5" t="n">
        <v>123.44</v>
      </c>
      <c r="D372" s="4" t="s">
        <v>1422</v>
      </c>
      <c r="E372" s="5" t="n">
        <v>98.88</v>
      </c>
      <c r="F372" s="4" t="s">
        <v>13</v>
      </c>
      <c r="G372" s="4" t="s">
        <v>1385</v>
      </c>
      <c r="H372" s="4" t="s">
        <v>1386</v>
      </c>
      <c r="I372" s="4" t="n">
        <v>44</v>
      </c>
      <c r="J372" s="4" t="n">
        <v>23</v>
      </c>
      <c r="K372" s="4"/>
    </row>
    <row r="373" customFormat="false" ht="15" hidden="false" customHeight="false" outlineLevel="0" collapsed="false">
      <c r="A373" s="4" t="s">
        <v>1360</v>
      </c>
      <c r="B373" s="4" t="s">
        <v>1388</v>
      </c>
      <c r="C373" s="5" t="n">
        <v>11.335</v>
      </c>
      <c r="D373" s="4" t="s">
        <v>1391</v>
      </c>
      <c r="E373" s="5" t="n">
        <v>9.45</v>
      </c>
      <c r="F373" s="4" t="s">
        <v>13</v>
      </c>
      <c r="G373" s="4" t="s">
        <v>1385</v>
      </c>
      <c r="H373" s="4" t="s">
        <v>1386</v>
      </c>
      <c r="I373" s="4" t="n">
        <v>44</v>
      </c>
      <c r="J373" s="4" t="n">
        <v>23</v>
      </c>
      <c r="K373" s="4"/>
    </row>
    <row r="374" customFormat="false" ht="15" hidden="false" customHeight="false" outlineLevel="0" collapsed="false">
      <c r="A374" s="4" t="s">
        <v>1363</v>
      </c>
      <c r="B374" s="4" t="s">
        <v>1388</v>
      </c>
      <c r="C374" s="5" t="n">
        <v>45.45</v>
      </c>
      <c r="D374" s="4" t="s">
        <v>1429</v>
      </c>
      <c r="E374" s="5" t="n">
        <v>37.5</v>
      </c>
      <c r="F374" s="4" t="s">
        <v>13</v>
      </c>
      <c r="G374" s="4" t="s">
        <v>1385</v>
      </c>
      <c r="H374" s="4" t="s">
        <v>1386</v>
      </c>
      <c r="I374" s="4" t="n">
        <v>44</v>
      </c>
      <c r="J374" s="4" t="n">
        <v>23</v>
      </c>
      <c r="K374" s="4"/>
    </row>
    <row r="375" customFormat="false" ht="15" hidden="false" customHeight="false" outlineLevel="0" collapsed="false">
      <c r="A375" s="4" t="s">
        <v>1367</v>
      </c>
      <c r="B375" s="4" t="s">
        <v>1421</v>
      </c>
      <c r="C375" s="5" t="n">
        <v>136.61</v>
      </c>
      <c r="D375" s="4" t="s">
        <v>1423</v>
      </c>
      <c r="E375" s="5" t="n">
        <v>107.75</v>
      </c>
      <c r="F375" s="4" t="s">
        <v>13</v>
      </c>
      <c r="G375" s="4" t="s">
        <v>1385</v>
      </c>
      <c r="H375" s="4" t="s">
        <v>1386</v>
      </c>
      <c r="I375" s="4" t="n">
        <v>44</v>
      </c>
      <c r="J375" s="4" t="n">
        <v>23</v>
      </c>
      <c r="K375" s="4"/>
    </row>
    <row r="376" customFormat="false" ht="15" hidden="false" customHeight="false" outlineLevel="0" collapsed="false">
      <c r="A376" s="4" t="s">
        <v>1370</v>
      </c>
      <c r="B376" s="4"/>
      <c r="C376" s="5"/>
      <c r="D376" s="4"/>
      <c r="E376" s="5"/>
      <c r="F376" s="4" t="s">
        <v>1433</v>
      </c>
      <c r="G376" s="4" t="s">
        <v>1385</v>
      </c>
      <c r="H376" s="4"/>
      <c r="I376" s="4" t="n">
        <v>0</v>
      </c>
      <c r="J376" s="4" t="n">
        <v>0</v>
      </c>
      <c r="K376" s="4" t="s">
        <v>1434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2026-08-07T12:49:00Z</dcterms:created>
  <dc:creator>openpyxl</dc:creator>
  <dc:description/>
  <dc:language>zh-CN</dc:language>
  <cp:lastModifiedBy>我的天呐</cp:lastModifiedBy>
  <dcterms:modified xsi:type="dcterms:W3CDTF">2026-08-08T17:42:28Z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r8>0</vt:r8>
  </property>
  <property fmtid="{D5CDD505-2E9C-101B-9397-08002B2CF9AE}" pid="3" name="ICV">
    <vt:lpwstr>3869BB98BAE54E50B542150936DE51C7_12</vt:lpwstr>
  </property>
  <property fmtid="{D5CDD505-2E9C-101B-9397-08002B2CF9AE}" pid="4" name="KSOProductBuildVer">
    <vt:lpwstr>2052-12.1.0.28043</vt:lpwstr>
  </property>
</Properties>
</file>